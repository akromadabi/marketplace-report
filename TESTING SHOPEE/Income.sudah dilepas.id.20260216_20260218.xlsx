
<file path=[Content_Types].xml><?xml version="1.0" encoding="utf-8"?>
<Types xmlns="http://schemas.openxmlformats.org/package/2006/content-types">
  <Default Extension="rels" ContentType="application/vnd.openxmlformats-package.relationships+xml"/>
  <Default Extension="xml" ContentType="application/xml"/>
  <Default Extension="emf" ContentType="image/x-emf"/>
  <Default Extension="wmf" ContentType="image/x-wmf"/>
  <Default Extension="wmz" ContentType="image/x-wmz"/>
  <Default Extension="bmp" ContentType="image/bmp"/>
  <Default Extension="png" ContentType="image/png"/>
  <Default Extension="svg" ContentType="image/svg"/>
  <Default Extension="tiff" ContentType="image/tiff"/>
  <Default Extension="jpeg" ContentType="image/jpeg"/>
  <Default Extension="gif" ContentType="image/gif"/>
  <Default Extension="emz" ContentType="image/x-emz"/>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fileVersion appName="Go XLSX"/>
  <workbookPr showObjects="all"/>
  <workbookProtection/>
  <bookViews>
    <workbookView showHorizontalScroll="true" showVerticalScroll="true" showSheetTabs="true" xWindow="0" yWindow="0" windowWidth="16384" windowHeight="8192" tabRatio="204"/>
  </bookViews>
  <sheets>
    <sheet name="Summary" sheetId="1" r:id="rId1" state="visible"/>
    <sheet name="Income" sheetId="2" r:id="rId2" state="visible"/>
    <sheet name="Service Fee Details" sheetId="3" r:id="rId3" state="visible"/>
    <sheet name="Shipping Fee Discrepancy" sheetId="4" r:id="rId4" state="visible"/>
    <sheet name="Order Processing Fee" sheetId="5" r:id="rId5" state="visible"/>
  </sheets>
  <definedNames/>
  <calcPr iterateCount="100" iterateDelta="0.001" refMode="A1"/>
</workbook>
</file>

<file path=xl/sharedStrings.xml><?xml version="1.0" encoding="utf-8"?>
<sst xmlns="http://schemas.openxmlformats.org/spreadsheetml/2006/main" count="143" uniqueCount="143">
  <si>
    <t>Laporan Penghasilan</t>
  </si>
  <si>
    <t>Rincian Laporan</t>
  </si>
  <si>
    <t>Username (Penjual)</t>
  </si>
  <si>
    <t>groovy.fashion</t>
  </si>
  <si>
    <t>Dari</t>
  </si>
  <si>
    <t>2026-02-16</t>
  </si>
  <si>
    <t>ke</t>
  </si>
  <si>
    <t>2026-02-18</t>
  </si>
  <si>
    <t>Ringkasan Penghasilan</t>
  </si>
  <si>
    <t>Rp</t>
  </si>
  <si>
    <t>1. Total Pendapatan</t>
  </si>
  <si>
    <t>Subtotal Pesanan</t>
  </si>
  <si>
    <t>Harga Asli Produk</t>
  </si>
  <si>
    <t>Total Diskon Produk</t>
  </si>
  <si>
    <t>Jumlah Pengembalian Dana ke Pembeli</t>
  </si>
  <si>
    <t>Voucher &amp; Subsidi Shopee</t>
  </si>
  <si>
    <t>Diskon Produk dari Shopee</t>
  </si>
  <si>
    <t>Voucher disponsor oleh Penjual</t>
  </si>
  <si>
    <t>Voucher co-fund disponsor oleh Penjual</t>
  </si>
  <si>
    <t>Cashback Koin disponsori Penjual</t>
  </si>
  <si>
    <t>Cashback Koin Co-fund disponsori Penjual</t>
  </si>
  <si>
    <t>2. Total Pengeluaran</t>
  </si>
  <si>
    <t>Total Biaya Pengiriman</t>
  </si>
  <si>
    <t>Ongkir Dibayar Pembeli</t>
  </si>
  <si>
    <t>Diskon Ongkir Ditanggung Jasa Kirim</t>
  </si>
  <si>
    <t>Gratis Ongkir dari Shopee</t>
  </si>
  <si>
    <t>Ongkir yang Diteruskan oleh Shopee ke Jasa Kirim</t>
  </si>
  <si>
    <t>Ongkos Kirim Pengembalian Barang</t>
  </si>
  <si>
    <t>Pengembalian Biaya Kirim</t>
  </si>
  <si>
    <t>Kembali ke Biaya Pengiriman Pengirim</t>
  </si>
  <si>
    <t>Biaya Admin &amp; Layanan</t>
  </si>
  <si>
    <t>Biaya Komisi AMS</t>
  </si>
  <si>
    <t>Biaya Administrasi</t>
  </si>
  <si>
    <t>Biaya Layanan</t>
  </si>
  <si>
    <t>Biaya Proses Pesanan</t>
  </si>
  <si>
    <t>Premi</t>
  </si>
  <si>
    <t>Biaya Program Hemat Biaya Kirim</t>
  </si>
  <si>
    <t>Biaya Transaksi</t>
  </si>
  <si>
    <t>Biaya Kampanye</t>
  </si>
  <si>
    <t>3. Total yang Dilepas</t>
  </si>
  <si>
    <t>Nilai Lainnya</t>
  </si>
  <si>
    <t>Promo Gratis Ongkir dari Penjual</t>
  </si>
  <si>
    <t>total(Rp)</t>
  </si>
  <si>
    <t>No.</t>
  </si>
  <si>
    <t>No. Pesanan</t>
  </si>
  <si>
    <t>No. Pengajuan</t>
  </si>
  <si>
    <t>Username (Pembeli)</t>
  </si>
  <si>
    <t>Waktu Pesanan Dibuat</t>
  </si>
  <si>
    <t>Metode pembayaran pembeli</t>
  </si>
  <si>
    <t>Tanggal Dana Dilepaskan</t>
  </si>
  <si>
    <t>Bea Masuk, PPN &amp; PPh</t>
  </si>
  <si>
    <t>Total Penghasilan</t>
  </si>
  <si>
    <t>Kode Voucher</t>
  </si>
  <si>
    <t>Kompensasi</t>
  </si>
  <si>
    <t>Jasa Kirim</t>
  </si>
  <si>
    <t>Nama Kurir</t>
  </si>
  <si>
    <t>Pengembalian Dana ke Pembeli</t>
  </si>
  <si>
    <t>Pro-rata Koin yang Ditukarkan untuk Pengembalian Barang</t>
  </si>
  <si>
    <t>Pro-rata Voucher Shopee untuk Pengembalian Barang</t>
  </si>
  <si>
    <t>Pro-rated Bank Payment Channel Promotion  for return refund Items</t>
  </si>
  <si>
    <t>Pro-rated Shopee Payment Channel Promotion  for return refund Items</t>
  </si>
  <si>
    <t>260204TG4SQWYR</t>
  </si>
  <si>
    <t>1x46n82gbd</t>
  </si>
  <si>
    <t>2026-02-04</t>
  </si>
  <si>
    <t>Saldo ShopeePay</t>
  </si>
  <si>
    <t>Hemat Kargo</t>
  </si>
  <si>
    <t>SPX Hemat</t>
  </si>
  <si>
    <t>260212GUDDH2T8</t>
  </si>
  <si>
    <t>nailaaputrii23_</t>
  </si>
  <si>
    <t>2026-02-12</t>
  </si>
  <si>
    <t>COD (Bayar di Tempat)</t>
  </si>
  <si>
    <t>Reguler</t>
  </si>
  <si>
    <t>SPX Standard</t>
  </si>
  <si>
    <t>260202N5QKABKY</t>
  </si>
  <si>
    <t>sella.chwan</t>
  </si>
  <si>
    <t>2026-02-02</t>
  </si>
  <si>
    <t>SeaBank Bayar Instan</t>
  </si>
  <si>
    <t>26020745CE8HBD</t>
  </si>
  <si>
    <t>dianarita844</t>
  </si>
  <si>
    <t>2026-02-07</t>
  </si>
  <si>
    <t>260214NSP7NCK4</t>
  </si>
  <si>
    <t>sabila10159</t>
  </si>
  <si>
    <t>2026-02-14</t>
  </si>
  <si>
    <t>JNE Reguler</t>
  </si>
  <si>
    <t>260214NCEP0RVP</t>
  </si>
  <si>
    <t>iwinn_01</t>
  </si>
  <si>
    <t>SPayLater</t>
  </si>
  <si>
    <t>260211EXUC48YK</t>
  </si>
  <si>
    <t>nickipadli</t>
  </si>
  <si>
    <t>2026-02-11</t>
  </si>
  <si>
    <t>Online Payment</t>
  </si>
  <si>
    <t>2602074QJ40MRU</t>
  </si>
  <si>
    <t>surimuharani2507</t>
  </si>
  <si>
    <t>260210B5H5PCWT</t>
  </si>
  <si>
    <t>f17nkkq7j2</t>
  </si>
  <si>
    <t>2026-02-10</t>
  </si>
  <si>
    <t>260211EWUKFGEM</t>
  </si>
  <si>
    <t>kintannazila</t>
  </si>
  <si>
    <t>2026-02-17</t>
  </si>
  <si>
    <t>260211EXU5EY7C</t>
  </si>
  <si>
    <t>insanym</t>
  </si>
  <si>
    <t>260212GTN1FB6C</t>
  </si>
  <si>
    <t>laynategal123</t>
  </si>
  <si>
    <t>Ninja Xpress</t>
  </si>
  <si>
    <t>260210BEHMBV99</t>
  </si>
  <si>
    <t>zizizaza293</t>
  </si>
  <si>
    <t>26020624P0HG70</t>
  </si>
  <si>
    <t>dindatrngrm</t>
  </si>
  <si>
    <t>2026-02-06</t>
  </si>
  <si>
    <t>260210BQTJR7AM</t>
  </si>
  <si>
    <t>g8n9xwjb5f</t>
  </si>
  <si>
    <t>2602074S2EW702</t>
  </si>
  <si>
    <t>hanathi</t>
  </si>
  <si>
    <t>260212HGD69TX0</t>
  </si>
  <si>
    <t>salsa_sabilaaa</t>
  </si>
  <si>
    <t>260201HHK3B05C</t>
  </si>
  <si>
    <t>rahmalia1111</t>
  </si>
  <si>
    <t>2026-02-01</t>
  </si>
  <si>
    <t>260212HFY0AAGH</t>
  </si>
  <si>
    <t>zahwannisaa</t>
  </si>
  <si>
    <t>260211EVCU56V4</t>
  </si>
  <si>
    <t>nurhabibah0906</t>
  </si>
  <si>
    <t>2602073HVRQKPK</t>
  </si>
  <si>
    <t>azrakadila</t>
  </si>
  <si>
    <t>Biaya Layanan Gratis Ongkir XTRA (5.5%)</t>
  </si>
  <si>
    <t>Biaya Layanan Promo XTRA</t>
  </si>
  <si>
    <t>Biaya Layanan Shopee Live XTRA</t>
  </si>
  <si>
    <t>Catatan: 
1) Sheet ini menunjukkan pesanan dengan Ongkos Kirim yang Dibayarkan ke Jasa Kirim lebih tinggi dari estimasi.
2) Estimasi Ongkos Kirim dihitung setelah checkout dengan mempertimbangkan beberapa aspek seperti berat produk, dan alamat pengiriman.
3) Ongkos Kirim Sebenarnya adalah sejumlah biaya yang dibayar oleh pihak jasa kirim.
4) Penjual dianjurkan untuk mengubah berat produk dan/atau alamat penjemputan jika alasan perbedaan disebabkan oleh perbedaan berat atau alamat.</t>
  </si>
  <si>
    <t>Estimasi Ongkos Kirim:</t>
  </si>
  <si>
    <t>Ongkos Kirim yang Dibayarkan ke Jasa Kirim:</t>
  </si>
  <si>
    <t>Discrepancy reason</t>
  </si>
  <si>
    <t>Alasan: Penjual mengubah alamat penjemputan atau drop off.</t>
  </si>
  <si>
    <t>Lihat berdasarkan</t>
  </si>
  <si>
    <t>ID Produk</t>
  </si>
  <si>
    <t>Nama Produk</t>
  </si>
  <si>
    <t>Biaya Proses Pesanan per Produk (Prorata harga produk tiap pesanan)</t>
  </si>
  <si>
    <t>Order</t>
  </si>
  <si>
    <t>-</t>
  </si>
  <si>
    <t>Sku</t>
  </si>
  <si>
    <t>Groovy Fashion Celana Highwaist Premium Anti Kusut Bahan Tebal Polyester - Loose Pants Panjang Casual Wanita Kantor Kerja</t>
  </si>
  <si>
    <t>Celana casual panjang Kulot highwaist Anti Kusut - Loose pants wanita kantor  kain nyaman</t>
  </si>
  <si>
    <t>Groovy Fashion Celana Highwaist Anti Kusut Casual Panjang Kulot - Loose Pants Wanita Kantor Kerja</t>
  </si>
  <si>
    <t>Celana Kantor Anti Kusut Cutbray Knit Pants Celana Kulot Higwaist Knit Premium</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</si>
</sst>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sz val="12"/>
      <color rgb="FF000000"/>
      <name val="Arial"/>
      <family val="0"/>
      <charset val="134"/>
    </font>
    <font>
      <sz val="10"/>
      <name val="Arial"/>
      <family val="0"/>
      <charset val="0"/>
    </font>
    <font>
      <b val="1"/>
      <sz val="15"/>
      <color rgb="FF000000"/>
      <name val="Arial"/>
      <family val="0"/>
      <charset val="134"/>
    </font>
    <font>
      <b val="1"/>
      <sz val="14"/>
      <color rgb="FF000000"/>
      <name val="Arial"/>
      <family val="0"/>
      <charset val="134"/>
    </font>
    <font>
      <sz val="14"/>
      <color rgb="FF000000"/>
      <name val="Arial"/>
      <family val="0"/>
      <charset val="134"/>
    </font>
    <font>
      <sz val="10"/>
      <color rgb="FF000000"/>
      <name val="Arial"/>
      <family val="0"/>
      <charset val="134"/>
    </font>
    <font>
      <b val="1"/>
      <sz val="10"/>
      <color rgb="FFFF0000"/>
      <name val="Arial"/>
      <family val="0"/>
      <charset val="134"/>
    </font>
    <font>
      <sz val="10"/>
      <color rgb="FF000000"/>
      <name val="Calibri"/>
      <family val="0"/>
      <charset val="134"/>
    </font>
    <font>
      <b val="1"/>
      <sz val="12"/>
      <color rgb="FF000000"/>
      <name val="Arial"/>
      <family val="0"/>
      <charset val="134"/>
    </font>
    <font>
      <sz val="11"/>
      <color rgb="FF000000"/>
      <name val="Arial"/>
      <family val="0"/>
      <charset val="134"/>
    </font>
    <font>
      <b val="1"/>
      <sz val="10"/>
      <color rgb="FF000000"/>
      <name val="Arial"/>
      <family val="0"/>
      <charset val="134"/>
    </font>
    <font>
      <b val="1"/>
      <sz val="10"/>
      <color rgb="FF000000"/>
      <name val="Calibri"/>
      <family val="0"/>
      <charset val="134"/>
    </font>
    <font>
      <sz val="12"/>
      <color rgb="FF000000"/>
      <name val="Calibri"/>
      <family val="0"/>
      <charset val="134"/>
    </font>
  </fonts>
  <fills count="9">
    <fill>
      <patternFill patternType="none"/>
    </fill>
    <fill>
      <patternFill patternType="lightGray"/>
    </fill>
    <fill>
      <patternFill patternType="solid">
        <fgColor rgb="FFFF6600"/>
      </patternFill>
    </fill>
    <fill>
      <patternFill patternType="solid">
        <fgColor rgb="FFF0F0F0"/>
      </patternFill>
    </fill>
    <fill>
      <patternFill patternType="solid">
        <fgColor rgb="FFFF6600"/>
        <bgColor rgb="FFFF6600"/>
      </patternFill>
    </fill>
    <fill>
      <patternFill patternType="solid">
        <fgColor rgb="FFA5A5A5"/>
      </patternFill>
    </fill>
    <fill>
      <patternFill patternType="solid">
        <fgColor rgb="FFE7E6E6"/>
      </patternFill>
    </fill>
    <fill>
      <patternFill patternType="solid">
        <fgColor rgb="FFA5A5A5"/>
        <bgColor rgb="FF000000"/>
      </patternFill>
    </fill>
    <fill>
      <patternFill patternType="solid">
        <fgColor rgb="FFB3B3B3"/>
        <bgColor rgb="FFB3B3B3"/>
      </patternFill>
    </fill>
  </fills>
  <borders count="3">
    <border>
      <left style="none"/>
      <right style="none"/>
      <top style="none"/>
      <bottom style="none"/>
      <diagonal/>
    </border>
    <border>
      <left/>
      <right/>
      <top/>
      <bottom/>
      <diagonal/>
    </border>
    <border>
      <left style="medium">
        <color rgb="FFCCCCCC"/>
      </left>
      <right style="medium">
        <color rgb="FFCCCCCC"/>
      </right>
      <top style="medium">
        <color rgb="FFCCCCCC"/>
      </top>
      <bottom style="medium">
        <color rgb="FFCCCCCC"/>
      </bottom>
      <diagonal/>
    </border>
  </borders>
  <cellXfs count="23">
    <xf numFmtId="0" fontId="0" fillId="0" borderId="0" applyNumberFormat="false" applyFont="false" applyFill="false" applyBorder="false" applyAlignment="false" applyProtection="false">
      <alignment horizontal="general" vertical="bottom"/>
    </xf>
    <xf numFmtId="0" fontId="0" fillId="0" borderId="1" xfId="0" applyNumberFormat="false" applyFont="true" applyFill="false" applyBorder="false" applyAlignment="false" applyProtection="false">
      <alignment horizontal="general" vertical="bottom"/>
    </xf>
    <xf numFmtId="0" fontId="1" fillId="0" borderId="0" applyNumberFormat="false" applyFont="false" applyFill="false" applyBorder="false" applyAlignment="false" applyProtection="false">
      <alignment horizontal="general" vertical="bottom"/>
    </xf>
    <xf numFmtId="0" fontId="2" fillId="0" borderId="2" xfId="0" applyNumberFormat="false" applyFont="true" applyFill="false" applyBorder="true" applyAlignment="true" applyProtection="false">
      <alignment horizontal="right" vertical="center" wrapText="true"/>
    </xf>
    <xf numFmtId="0" fontId="3" fillId="0" borderId="2" xfId="0" applyNumberFormat="false" applyFont="true" applyFill="false" applyBorder="true" applyAlignment="true" applyProtection="false">
      <alignment horizontal="right" vertical="center" wrapText="true"/>
    </xf>
    <xf numFmtId="0" fontId="4" fillId="2" borderId="2" xfId="0" applyNumberFormat="false" applyFont="true" applyFill="true" applyBorder="true" applyAlignment="true" applyProtection="false">
      <alignment horizontal="general" vertical="bottom" wrapText="true"/>
    </xf>
    <xf numFmtId="0" fontId="5" fillId="3" borderId="2" xfId="0" applyNumberFormat="false" applyFont="true" applyFill="true" applyBorder="true" applyAlignment="true" applyProtection="false">
      <alignment horizontal="general" vertical="bottom" wrapText="true"/>
    </xf>
    <xf numFmtId="0" fontId="5" fillId="0" borderId="2" xfId="0" applyNumberFormat="false" applyFont="true" applyFill="false" applyBorder="true" applyAlignment="true" applyProtection="false">
      <alignment horizontal="general" vertical="bottom" wrapText="true"/>
    </xf>
    <xf numFmtId="0" fontId="6" fillId="0" borderId="2" xfId="0" applyNumberFormat="false" applyFont="true" applyFill="false" applyBorder="true" applyAlignment="false" applyProtection="false">
      <alignment horizontal="general" vertical="bottom"/>
    </xf>
    <xf numFmtId="0" fontId="7" fillId="0" borderId="2" xfId="0" applyNumberFormat="false" applyFont="true" applyFill="false" applyBorder="true" applyAlignment="true" applyProtection="false">
      <alignment horizontal="general" vertical="bottom" wrapText="true"/>
    </xf>
    <xf numFmtId="0" fontId="4" fillId="4" borderId="1" xfId="0" applyNumberFormat="false" applyFont="true" applyFill="true" applyBorder="false" applyAlignment="false" applyProtection="false">
      <alignment horizontal="general" vertical="bottom"/>
    </xf>
    <xf numFmtId="0" fontId="8" fillId="5" borderId="1" xfId="0" applyNumberFormat="false" applyFont="true" applyFill="true" applyBorder="false" applyAlignment="false" applyProtection="false">
      <alignment horizontal="general" vertical="bottom"/>
    </xf>
    <xf numFmtId="0" fontId="9" fillId="6" borderId="1" xfId="0" applyNumberFormat="false" applyFont="true" applyFill="true" applyBorder="false" applyAlignment="false" applyProtection="false">
      <alignment horizontal="general" vertical="bottom"/>
    </xf>
    <xf numFmtId="0" fontId="5" fillId="0" borderId="1" xfId="0" applyNumberFormat="false" applyFont="true" applyFill="false" applyBorder="false" applyAlignment="false" applyProtection="false">
      <alignment horizontal="general" vertical="bottom"/>
    </xf>
    <xf numFmtId="0" fontId="8" fillId="7" borderId="1" xfId="0" applyNumberFormat="false" applyFont="true" applyFill="true" applyBorder="false" applyAlignment="false" applyProtection="false">
      <alignment horizontal="general" vertical="bottom"/>
    </xf>
    <xf numFmtId="0" fontId="5" fillId="6" borderId="1" xfId="0" applyNumberFormat="false" applyFont="true" applyFill="true" applyBorder="false" applyAlignment="false" applyProtection="false">
      <alignment horizontal="general" vertical="bottom"/>
    </xf>
    <xf numFmtId="0" fontId="10" fillId="0" borderId="1" xfId="0" applyNumberFormat="false" applyFont="true" applyFill="false" applyBorder="false" applyAlignment="false" applyProtection="false">
      <alignment horizontal="general" vertical="bottom"/>
    </xf>
    <xf numFmtId="0" fontId="5" fillId="0" borderId="1" xfId="0" applyNumberFormat="false" applyFont="true" applyFill="false" applyBorder="false" applyAlignment="true" applyProtection="false">
      <alignment horizontal="left" vertical="bottom"/>
    </xf>
    <xf numFmtId="0" fontId="5" fillId="8" borderId="1" xfId="0" applyNumberFormat="false" applyFont="true" applyFill="true" applyBorder="false" applyAlignment="true" applyProtection="false">
      <alignment horizontal="center" vertical="bottom"/>
    </xf>
    <xf numFmtId="0" fontId="5" fillId="0" borderId="1" xfId="0" applyNumberFormat="false" applyFont="true" applyFill="false" applyBorder="false" applyAlignment="true" applyProtection="false">
      <alignment horizontal="general" vertical="center"/>
    </xf>
    <xf numFmtId="0" fontId="11" fillId="2" borderId="1" xfId="0" applyNumberFormat="false" applyFont="true" applyFill="true" applyBorder="false" applyAlignment="false" applyProtection="false">
      <alignment horizontal="general" vertical="bottom"/>
    </xf>
    <xf numFmtId="0" fontId="7" fillId="0" borderId="1" xfId="0" applyNumberFormat="false" applyFont="true" applyFill="false" applyBorder="false" applyAlignment="false" applyProtection="false">
      <alignment horizontal="general" vertical="bottom"/>
    </xf>
    <xf numFmtId="0" fontId="12" fillId="0" borderId="1" xfId="0" applyNumberFormat="false" applyFont="false" applyFill="false" applyBorder="false" applyAlignment="false" applyProtection="false">
      <alignment horizontal="general" vertical="bottom"/>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worksheets/sheet2.xml" Type="http://schemas.openxmlformats.org/officeDocument/2006/relationships/worksheet"></Relationship><Relationship Id="rId3" Target="worksheets/sheet3.xml" Type="http://schemas.openxmlformats.org/officeDocument/2006/relationships/worksheet"></Relationship><Relationship Id="rId4" Target="worksheets/sheet4.xml" Type="http://schemas.openxmlformats.org/officeDocument/2006/relationships/worksheet"></Relationship><Relationship Id="rId5" Target="worksheets/sheet5.xml" Type="http://schemas.openxmlformats.org/officeDocument/2006/relationships/worksheet"></Relationship><Relationship Id="rId6" Target="/xl/sharedStrings.xml" Type="http://schemas.openxmlformats.org/officeDocument/2006/relationships/sharedStrings"></Relationship><Relationship Id="rId7" Target="theme/theme1.xml" Type="http://schemas.openxmlformats.org/officeDocument/2006/relationships/theme"></Relationship><Relationship Id="rId8" Target="styles.xml" Type="http://schemas.openxmlformats.org/officeDocument/2006/relationships/styles"></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0</xdr:col>
      <xdr:colOff>0</xdr:colOff>
      <xdr:row>0</xdr:row>
      <xdr:rowOff>0</xdr:rowOff>
    </xdr:from>
    <xdr:to>
      <xdr:col>0</xdr:col>
      <xdr:colOff>1419225</xdr:colOff>
      <xdr:row>4</xdr:row>
      <xdr:rowOff>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theme/theme1.xml><?xml version="1.0" encoding="utf-8"?>
<a:theme xmlns:a="http://schemas.openxmlformats.org/drawingml/2006/main" xmlns:r="http://schemas.openxmlformats.org/officeDocument/2006/relationships"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sheetPr>
    <pageSetUpPr/>
  </sheetPr>
  <dimension ref="A1:D93"/>
  <sheetViews>
    <sheetView showGridLines="true" showRowColHeaders="true" showZeros="true" tabSelected="true" showOutlineSymbols="true" defaultGridColor="true" view="normal" topLeftCell="A1" colorId="64" zoomScale="100" zoomScaleNormal="100" zoomScalePageLayoutView="100" workbookViewId="0">
      <selection activeCell="A1" activeCellId="0" pane="topLeft" sqref="A1"/>
    </sheetView>
  </sheetViews>
  <sheetFormatPr defaultRowHeight="12.85"/>
  <cols>
    <col customWidth="true" max="16384" min="1" style="1" width="25"/>
    <col customWidth="true" max="16384" min="1" style="1" width="25"/>
    <col customWidth="true" max="16384" min="1" style="1" width="25"/>
    <col customWidth="true" max="16384" min="1" style="1" width="25"/>
    <col customWidth="true" max="1" min="1" style="2" width="25"/>
    <col customWidth="true" max="16384" min="1" style="1" width="25"/>
    <col customWidth="true" max="16384" min="1" style="1" width="25"/>
    <col customWidth="true" max="16384" min="1" style="1" width="25"/>
    <col customWidth="true" max="16384" min="1" style="1" width="25"/>
    <col customWidth="true" max="4" min="2" style="2" width="25"/>
  </cols>
  <sheetData>
    <row r="1" ht="17.25" customHeight="true">
      <c r="A1" s="3" t="s">
        <v>0</v>
      </c>
      <c r="B1" s="4" t="s"/>
      <c r="C1" s="4" t="s"/>
      <c r="D1" s="4" t="s"/>
    </row>
    <row r="2" ht="18.35" customHeight="true">
      <c r="A2" s="4" t="s"/>
      <c r="B2" s="4" t="s"/>
      <c r="C2" s="4" t="s"/>
      <c r="D2" s="4" t="s"/>
    </row>
    <row r="3" ht="18.35" customHeight="true">
      <c r="A3" s="4" t="s"/>
      <c r="B3" s="4" t="s"/>
      <c r="C3" s="4" t="s"/>
      <c r="D3" s="4" t="s"/>
    </row>
    <row r="4" ht="18.35" customHeight="true">
      <c r="A4" s="4" t="s"/>
      <c r="B4" s="4" t="s"/>
      <c r="C4" s="4" t="s"/>
      <c r="D4" s="4" t="s"/>
    </row>
    <row r="5" ht="18" customHeight="true">
      <c r="A5" s="5" t="s">
        <v>1</v>
      </c>
      <c r="B5" s="5" t="s"/>
      <c r="C5" s="5" t="s"/>
      <c r="D5" s="5" t="s"/>
    </row>
    <row r="6" ht="15.5" customHeight="true">
      <c r="A6" s="6" t="s">
        <v>2</v>
      </c>
      <c r="B6" s="7" t="s">
        <v>3</v>
      </c>
      <c r="C6" s="7" t="s"/>
      <c r="D6" s="7" t="s"/>
    </row>
    <row r="7" ht="15.5" customHeight="true">
      <c r="A7" s="6" t="s">
        <v>4</v>
      </c>
      <c r="B7" s="7" t="s">
        <v>5</v>
      </c>
      <c r="C7" s="7" t="s"/>
      <c r="D7" s="7" t="s"/>
    </row>
    <row r="8" ht="15.5" customHeight="true">
      <c r="A8" s="6" t="s">
        <v>6</v>
      </c>
      <c r="B8" s="7" t="s">
        <v>7</v>
      </c>
      <c r="C8" s="7" t="s"/>
      <c r="D8" s="7" t="s"/>
    </row>
    <row r="9" ht="18.35" customHeight="true">
      <c r="A9" s="8" t="s"/>
      <c r="B9" s="9" t="s"/>
      <c r="C9" s="9" t="s"/>
      <c r="D9" s="9" t="s"/>
    </row>
    <row r="10" ht="20.4" customHeight="true">
      <c r="A10" s="10" t="s">
        <v>8</v>
      </c>
      <c r="B10" s="10" t="s"/>
      <c r="C10" s="10" t="s"/>
      <c r="D10" s="10" t="s">
        <v>9</v>
      </c>
    </row>
    <row r="11">
      <c r="A11" s="11" t="s">
        <v>10</v>
      </c>
      <c r="B11" s="11" t="s"/>
      <c r="C11" s="11" t="s"/>
      <c r="D11" s="11">
        <v>1495336</v>
      </c>
    </row>
    <row r="12">
      <c r="A12" s="12" t="s">
        <v>11</v>
      </c>
      <c r="B12" s="12" t="s"/>
      <c r="C12" s="12" t="s"/>
      <c r="D12" s="12">
        <v>1495336</v>
      </c>
    </row>
    <row r="13">
      <c r="A13" s="13" t="s"/>
      <c r="B13" s="13" t="s">
        <v>12</v>
      </c>
      <c r="C13" s="13">
        <v>3050000</v>
      </c>
      <c r="D13" s="13" t="s"/>
    </row>
    <row r="14">
      <c r="A14" s="13" t="s"/>
      <c r="B14" s="13" t="s">
        <v>13</v>
      </c>
      <c r="C14" s="13">
        <v>-1492264</v>
      </c>
      <c r="D14" s="13" t="s"/>
    </row>
    <row r="15">
      <c r="A15" s="13" t="s"/>
      <c r="B15" s="13" t="s">
        <v>14</v>
      </c>
      <c r="C15" s="13">
        <v>-62400</v>
      </c>
      <c r="D15" s="13" t="s"/>
    </row>
    <row r="16">
      <c r="A16" s="13" t="s"/>
      <c r="B16" s="13" t="s"/>
      <c r="C16" s="13" t="s"/>
      <c r="D16" s="13" t="s"/>
    </row>
    <row r="17">
      <c r="A17" s="12" t="s">
        <v>15</v>
      </c>
      <c r="B17" s="12" t="s"/>
      <c r="C17" s="12" t="s"/>
      <c r="D17" s="12">
        <v>0</v>
      </c>
    </row>
    <row r="18">
      <c r="A18" s="13" t="s"/>
      <c r="B18" s="13" t="s">
        <v>16</v>
      </c>
      <c r="C18" s="13">
        <v>0</v>
      </c>
      <c r="D18" s="13" t="s"/>
    </row>
    <row r="19">
      <c r="A19" s="13" t="s"/>
      <c r="B19" s="13" t="s">
        <v>17</v>
      </c>
      <c r="C19" s="13">
        <v>0</v>
      </c>
      <c r="D19" s="13" t="s"/>
    </row>
    <row r="20">
      <c r="A20" s="13" t="s"/>
      <c r="B20" s="13" t="s">
        <v>18</v>
      </c>
      <c r="C20" s="13">
        <v>0</v>
      </c>
      <c r="D20" s="13" t="s"/>
    </row>
    <row r="21">
      <c r="A21" s="13" t="s"/>
      <c r="B21" s="13" t="s">
        <v>19</v>
      </c>
      <c r="C21" s="13">
        <v>0</v>
      </c>
      <c r="D21" s="13" t="s"/>
    </row>
    <row r="22">
      <c r="A22" s="13" t="s"/>
      <c r="B22" s="13" t="s">
        <v>20</v>
      </c>
      <c r="C22" s="13">
        <v>0</v>
      </c>
      <c r="D22" s="13" t="s"/>
    </row>
    <row r="23">
      <c r="A23" s="2" t="s"/>
      <c r="B23" s="13" t="s"/>
      <c r="C23" s="13" t="s"/>
      <c r="D23" s="13" t="s"/>
    </row>
    <row r="24">
      <c r="A24" s="11" t="s">
        <v>21</v>
      </c>
      <c r="B24" s="11" t="s"/>
      <c r="C24" s="11" t="s"/>
      <c r="D24" s="11">
        <v>-314390</v>
      </c>
    </row>
    <row r="25">
      <c r="A25" s="12" t="s">
        <v>22</v>
      </c>
      <c r="B25" s="12" t="s"/>
      <c r="C25" s="12" t="s"/>
      <c r="D25" s="12">
        <v>0</v>
      </c>
    </row>
    <row r="26">
      <c r="A26" s="13" t="s"/>
      <c r="B26" s="13" t="s">
        <v>23</v>
      </c>
      <c r="C26" s="13">
        <v>0</v>
      </c>
      <c r="D26" s="13" t="s"/>
    </row>
    <row r="27">
      <c r="A27" s="13" t="s"/>
      <c r="B27" s="13" t="s">
        <v>24</v>
      </c>
      <c r="C27" s="13">
        <v>0</v>
      </c>
      <c r="D27" s="13" t="s"/>
    </row>
    <row r="28">
      <c r="A28" s="13" t="s"/>
      <c r="B28" s="13" t="s">
        <v>25</v>
      </c>
      <c r="C28" s="13">
        <v>222474</v>
      </c>
      <c r="D28" s="13" t="s"/>
    </row>
    <row r="29">
      <c r="A29" s="13" t="s"/>
      <c r="B29" s="13" t="s">
        <v>26</v>
      </c>
      <c r="C29" s="13">
        <v>-222474</v>
      </c>
      <c r="D29" s="13" t="s"/>
    </row>
    <row r="30">
      <c r="A30" s="13" t="s"/>
      <c r="B30" s="13" t="s">
        <v>27</v>
      </c>
      <c r="C30" s="13">
        <v>0</v>
      </c>
      <c r="D30" s="13" t="s"/>
    </row>
    <row r="31">
      <c r="A31" s="13" t="s"/>
      <c r="B31" s="13" t="s">
        <v>28</v>
      </c>
      <c r="C31" s="13">
        <v>0</v>
      </c>
      <c r="D31" s="13" t="s"/>
    </row>
    <row r="32">
      <c r="A32" s="13" t="s"/>
      <c r="B32" s="13" t="s">
        <v>29</v>
      </c>
      <c r="C32" s="13">
        <v>0</v>
      </c>
      <c r="D32" s="13" t="s"/>
    </row>
    <row r="33">
      <c r="A33" s="13" t="s"/>
      <c r="B33" s="13" t="s"/>
      <c r="C33" s="13" t="s"/>
      <c r="D33" s="13" t="s"/>
    </row>
    <row r="34">
      <c r="A34" s="12" t="s">
        <v>30</v>
      </c>
      <c r="B34" s="12" t="s"/>
      <c r="C34" s="12" t="s"/>
      <c r="D34" s="12">
        <v>-314390</v>
      </c>
    </row>
    <row r="35">
      <c r="A35" s="13" t="s"/>
      <c r="B35" s="13" t="s">
        <v>31</v>
      </c>
      <c r="C35" s="13">
        <v>-6462</v>
      </c>
      <c r="D35" s="13" t="s"/>
    </row>
    <row r="36">
      <c r="A36" s="13" t="s"/>
      <c r="B36" s="13" t="s">
        <v>32</v>
      </c>
      <c r="C36" s="13">
        <v>-123365</v>
      </c>
      <c r="D36" s="13" t="s"/>
    </row>
    <row r="37">
      <c r="A37" s="13" t="s"/>
      <c r="B37" s="13" t="s">
        <v>33</v>
      </c>
      <c r="C37" s="13">
        <v>-159563</v>
      </c>
      <c r="D37" s="13" t="s"/>
    </row>
    <row r="38">
      <c r="A38" s="13" t="s"/>
      <c r="B38" s="13" t="s">
        <v>34</v>
      </c>
      <c r="C38" s="13">
        <v>-25000</v>
      </c>
      <c r="D38" s="13" t="s"/>
    </row>
    <row r="39">
      <c r="A39" s="13" t="s"/>
      <c r="B39" s="13" t="s">
        <v>35</v>
      </c>
      <c r="C39" s="13">
        <v>0</v>
      </c>
      <c r="D39" s="13" t="s"/>
    </row>
    <row r="40">
      <c r="A40" s="13" t="s"/>
      <c r="B40" s="13" t="s">
        <v>36</v>
      </c>
      <c r="C40" s="13">
        <v>0</v>
      </c>
      <c r="D40" s="13" t="s"/>
    </row>
    <row r="41">
      <c r="A41" s="13" t="s"/>
      <c r="B41" s="13" t="s">
        <v>37</v>
      </c>
      <c r="C41" s="13">
        <v>0</v>
      </c>
      <c r="D41" s="13" t="s"/>
    </row>
    <row r="42">
      <c r="A42" s="13" t="s"/>
      <c r="B42" s="13" t="s">
        <v>38</v>
      </c>
      <c r="C42" s="13">
        <v>0</v>
      </c>
      <c r="D42" s="13" t="s"/>
    </row>
    <row r="43">
      <c r="A43" s="13" t="s"/>
      <c r="B43" s="13" t="s"/>
      <c r="C43" s="13" t="s"/>
      <c r="D43" s="13" t="s"/>
    </row>
    <row r="44">
      <c r="A44" s="13" t="s"/>
      <c r="B44" s="13" t="s"/>
      <c r="C44" s="13" t="s"/>
      <c r="D44" s="13" t="s"/>
    </row>
    <row r="45">
      <c r="A45" s="2" t="s"/>
      <c r="B45" s="13" t="s"/>
      <c r="C45" s="13" t="s"/>
      <c r="D45" s="13" t="s"/>
    </row>
    <row r="46"/>
    <row r="47">
      <c r="A47" s="14" t="s">
        <v>39</v>
      </c>
      <c r="B47" s="14" t="s"/>
      <c r="C47" s="14" t="s"/>
      <c r="D47" s="14">
        <v>1180946</v>
      </c>
    </row>
    <row r="48">
      <c r="A48" s="1" t="s"/>
    </row>
    <row r="49">
      <c r="A49" s="14" t="s">
        <v>40</v>
      </c>
      <c r="B49" s="14" t="s"/>
      <c r="C49" s="14" t="s"/>
      <c r="D49" s="14" t="s"/>
    </row>
    <row r="50">
      <c r="A50" s="15" t="s">
        <v>41</v>
      </c>
      <c r="B50" s="15" t="s"/>
      <c r="C50" s="15" t="s"/>
      <c r="D50" s="15">
        <v>0</v>
      </c>
    </row>
    <row r="51" ht="14.4" customHeight="true">
      <c r="A51" s="16" t="s"/>
    </row>
    <row r="52">
      <c r="A52" s="13" t="s"/>
      <c r="B52" s="16" t="s"/>
      <c r="C52" s="16" t="s"/>
      <c r="D52" s="16" t="s"/>
    </row>
    <row r="53">
      <c r="A53" s="16" t="s"/>
      <c r="B53" s="13" t="s"/>
      <c r="C53" s="13" t="s"/>
      <c r="D53" s="13" t="s"/>
    </row>
    <row r="54">
      <c r="A54" s="13" t="s"/>
      <c r="B54" s="13" t="s"/>
      <c r="C54" s="13" t="s"/>
      <c r="D54" s="13" t="s"/>
    </row>
    <row r="55">
      <c r="A55" s="13" t="s"/>
      <c r="B55" s="13" t="s"/>
      <c r="C55" s="13" t="s"/>
      <c r="D55" s="13" t="s"/>
    </row>
    <row r="56">
      <c r="A56" s="13" t="s"/>
      <c r="B56" s="13" t="s"/>
      <c r="C56" s="13" t="s"/>
      <c r="D56" s="13" t="s"/>
    </row>
    <row r="57">
      <c r="A57" s="13" t="s"/>
      <c r="B57" s="13" t="s"/>
      <c r="C57" s="13" t="s"/>
      <c r="D57" s="13" t="s"/>
    </row>
    <row r="58">
      <c r="A58" s="13" t="s"/>
      <c r="B58" s="13" t="s"/>
      <c r="C58" s="13" t="s"/>
      <c r="D58" s="13" t="s"/>
    </row>
    <row r="59">
      <c r="A59" s="13" t="s"/>
      <c r="B59" s="13" t="s"/>
      <c r="C59" s="13" t="s"/>
      <c r="D59" s="13" t="s"/>
    </row>
    <row r="60">
      <c r="A60" s="13" t="s"/>
      <c r="B60" s="13" t="s"/>
      <c r="C60" s="13" t="s"/>
      <c r="D60" s="13" t="s"/>
    </row>
    <row r="61">
      <c r="A61" s="13" t="s"/>
      <c r="B61" s="13" t="s"/>
      <c r="C61" s="13" t="s"/>
      <c r="D61" s="13" t="s"/>
    </row>
    <row r="62">
      <c r="A62" s="13" t="s"/>
      <c r="B62" s="13" t="s"/>
      <c r="C62" s="13" t="s"/>
      <c r="D62" s="13" t="s"/>
    </row>
    <row r="63">
      <c r="A63" s="13" t="s"/>
      <c r="B63" s="13" t="s"/>
      <c r="C63" s="13" t="s"/>
      <c r="D63" s="13" t="s"/>
    </row>
    <row r="64">
      <c r="A64" s="13" t="s"/>
      <c r="B64" s="16" t="s"/>
      <c r="C64" s="16" t="s"/>
      <c r="D64" s="16" t="s"/>
    </row>
    <row r="65">
      <c r="A65" s="16" t="s"/>
      <c r="B65" s="13" t="s"/>
      <c r="C65" s="13" t="s"/>
      <c r="D65" s="13" t="s"/>
    </row>
    <row r="66">
      <c r="A66" s="13" t="s"/>
      <c r="B66" s="13" t="s"/>
      <c r="C66" s="13" t="s"/>
      <c r="D66" s="13" t="s"/>
    </row>
    <row r="67">
      <c r="A67" s="13" t="s"/>
      <c r="B67" s="13" t="s"/>
      <c r="C67" s="13" t="s"/>
      <c r="D67" s="13" t="s"/>
    </row>
    <row r="68">
      <c r="A68" s="13" t="s"/>
      <c r="B68" s="16" t="s"/>
      <c r="C68" s="16" t="s"/>
      <c r="D68" s="13" t="s"/>
    </row>
    <row r="69">
      <c r="A69" s="16" t="s"/>
      <c r="B69" s="16" t="s"/>
      <c r="C69" s="16" t="s"/>
      <c r="D69" s="16" t="s"/>
    </row>
    <row r="70">
      <c r="A70" s="16" t="s"/>
      <c r="B70" s="13" t="s"/>
      <c r="C70" s="13" t="s"/>
      <c r="D70" s="13" t="s"/>
    </row>
    <row r="71">
      <c r="A71" s="13" t="s"/>
      <c r="B71" s="13" t="s"/>
      <c r="C71" s="13" t="s"/>
      <c r="D71" s="13" t="s"/>
    </row>
    <row r="72">
      <c r="A72" s="13" t="s"/>
      <c r="B72" s="13" t="s"/>
      <c r="C72" s="13" t="s"/>
      <c r="D72" s="13" t="s"/>
    </row>
    <row r="73">
      <c r="A73" s="13" t="s"/>
      <c r="B73" s="13" t="s"/>
      <c r="C73" s="13" t="s"/>
      <c r="D73" s="13" t="s"/>
    </row>
    <row r="74">
      <c r="A74" s="13" t="s"/>
      <c r="B74" s="16" t="s"/>
      <c r="C74" s="16" t="s"/>
      <c r="D74" s="16" t="s"/>
    </row>
    <row r="75">
      <c r="A75" s="16" t="s"/>
      <c r="B75" s="13" t="s"/>
      <c r="C75" s="13" t="s"/>
      <c r="D75" s="13" t="s"/>
    </row>
    <row r="76">
      <c r="A76" s="13" t="s"/>
      <c r="B76" s="13" t="s"/>
      <c r="C76" s="13" t="s"/>
      <c r="D76" s="13" t="s"/>
    </row>
    <row r="77">
      <c r="A77" s="13" t="s"/>
      <c r="B77" s="13" t="s"/>
      <c r="C77" s="13" t="s"/>
      <c r="D77" s="13" t="s"/>
    </row>
    <row r="78">
      <c r="A78" s="13" t="s"/>
      <c r="B78" s="13" t="s"/>
      <c r="C78" s="13" t="s"/>
      <c r="D78" s="13" t="s"/>
    </row>
    <row r="79">
      <c r="A79" s="13" t="s"/>
      <c r="B79" s="16" t="s"/>
      <c r="C79" s="16" t="s"/>
      <c r="D79" s="16" t="s"/>
    </row>
    <row r="80">
      <c r="A80" s="16" t="s"/>
      <c r="B80" s="13" t="s"/>
      <c r="C80" s="13" t="s"/>
      <c r="D80" s="13" t="s"/>
    </row>
    <row r="81">
      <c r="A81" s="13" t="s"/>
      <c r="B81" s="13" t="s"/>
      <c r="C81" s="13" t="s"/>
      <c r="D81" s="13" t="s"/>
    </row>
    <row r="82">
      <c r="A82" s="13" t="s"/>
      <c r="B82" s="13" t="s"/>
      <c r="C82" s="13" t="s"/>
      <c r="D82" s="13" t="s"/>
    </row>
    <row r="83">
      <c r="A83" s="13" t="s"/>
      <c r="B83" s="16" t="s"/>
      <c r="C83" s="16" t="s"/>
      <c r="D83" s="16" t="s"/>
    </row>
    <row r="84">
      <c r="A84" s="16" t="s"/>
      <c r="B84" s="13" t="s"/>
      <c r="C84" s="13" t="s"/>
      <c r="D84" s="13" t="s"/>
    </row>
    <row r="85">
      <c r="A85" s="13" t="s"/>
      <c r="B85" s="16" t="s"/>
      <c r="C85" s="16" t="s"/>
      <c r="D85" s="16" t="s"/>
    </row>
    <row r="86">
      <c r="A86" s="16" t="s"/>
      <c r="B86" s="13" t="s"/>
      <c r="C86" s="13" t="s"/>
      <c r="D86" s="13" t="s"/>
    </row>
    <row r="87">
      <c r="A87" s="13" t="s"/>
      <c r="B87" s="16" t="s"/>
      <c r="C87" s="16" t="s"/>
      <c r="D87" s="16" t="s"/>
    </row>
    <row r="88">
      <c r="A88" s="16" t="s"/>
      <c r="B88" s="13" t="s"/>
      <c r="C88" s="13" t="s"/>
      <c r="D88" s="13" t="s"/>
    </row>
    <row r="89">
      <c r="A89" s="13" t="s"/>
      <c r="B89" s="16" t="s"/>
      <c r="C89" s="16" t="s"/>
      <c r="D89" s="16" t="s"/>
    </row>
    <row r="90">
      <c r="A90" s="16" t="s"/>
      <c r="B90" s="13" t="s"/>
      <c r="C90" s="13" t="s"/>
      <c r="D90" s="13" t="s"/>
    </row>
    <row r="91">
      <c r="A91" s="13" t="s"/>
      <c r="B91" s="13" t="s"/>
      <c r="C91" s="13" t="s"/>
      <c r="D91" s="13" t="s"/>
    </row>
    <row r="92">
      <c r="A92" s="13" t="s"/>
      <c r="B92" s="13" t="s"/>
      <c r="C92" s="13" t="s"/>
      <c r="D92" s="13" t="s"/>
    </row>
    <row r="93">
      <c r="A93" s="13" t="s"/>
    </row>
  </sheetData>
  <mergeCells count="15">
    <mergeCell ref="A1:D4"/>
    <mergeCell ref="A5:D5"/>
    <mergeCell ref="B6:D6"/>
    <mergeCell ref="B7:D7"/>
    <mergeCell ref="B8:D8"/>
    <mergeCell ref="A10:C10"/>
    <mergeCell ref="A11:C11"/>
    <mergeCell ref="A12:C12"/>
    <mergeCell ref="A17:C17"/>
    <mergeCell ref="A24:C24"/>
    <mergeCell ref="A25:C25"/>
    <mergeCell ref="A34:C34"/>
    <mergeCell ref="A47:C47"/>
    <mergeCell ref="A49:D49"/>
    <mergeCell ref="A50:C50"/>
  </mergeCells>
  <printOptions gridLinesSet="true"/>
  <pageMargins left="0.7875" right="0.7875" top="1.05277777777778" bottom="1.05277777777778" header="0.7875" footer="0.7875"/>
  <pageSetup cellComments="none" copies="1" firstPageNumber="1" fitToHeight="1" fitToWidth="1" horizontalDpi="300" orientation="portrait" pageOrder="downThenOver" paperSize="9" scale="100" useFirstPageNumber="true" verticalDpi="300"/>
  <headerFooter>
    <oddHeader>&amp;C&amp;"Times New Roman,Regular"&amp;12&amp;A</oddHeader>
    <oddFooter>&amp;C&amp;"Times New Roman,Regular"&amp;12Page &amp;P</oddFooter>
  </headerFooter>
  <drawing r:id="rId1"/>
</worksheet>
</file>

<file path=xl/worksheets/sheet2.xml><?xml version="1.0" encoding="utf-8"?>
<worksheet xmlns="http://schemas.openxmlformats.org/spreadsheetml/2006/main">
  <sheetPr filterMode="false">
    <pageSetUpPr fitToPage="false"/>
  </sheetPr>
  <dimension ref="A1:AQ27"/>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0" width="10" customWidth="true"/>
    <col collapsed="false" hidden="false" max="1" min="1" style="0" width="10" customWidth="true"/>
    <col collapsed="false" hidden="false" max="3" min="3" style="2" width="10" customWidth="true"/>
    <col collapsed="false" hidden="false" max="4" min="4" style="2" width="10" customWidth="true"/>
    <col collapsed="false" hidden="false" max="5" min="5" style="2" width="10" customWidth="true"/>
    <col collapsed="false" hidden="false" max="6" min="6" style="2" width="10" customWidth="true"/>
    <col collapsed="false" hidden="false" max="7" min="7" style="2" width="10" customWidth="true"/>
    <col collapsed="false" hidden="false" max="8" min="8" style="2" width="10" customWidth="true"/>
    <col collapsed="false" hidden="false" max="9" min="9" style="2" width="10" customWidth="true"/>
    <col collapsed="false" hidden="false" max="10" min="10" style="2" width="10" customWidth="true"/>
    <col collapsed="false" hidden="false" max="11" min="11" style="2" width="10" customWidth="true"/>
    <col collapsed="false" hidden="false" max="12" min="12" style="2" width="10" customWidth="true"/>
    <col collapsed="false" hidden="false" max="13" min="13" style="2" width="10" customWidth="true"/>
    <col collapsed="false" hidden="false" max="14" min="14" style="2" width="10" customWidth="true"/>
    <col collapsed="false" hidden="false" max="15" min="15" style="2" width="10" customWidth="true"/>
    <col collapsed="false" hidden="false" max="16" min="16" style="2" width="10" customWidth="true"/>
    <col collapsed="false" hidden="false" max="17" min="17" style="2" width="10" customWidth="true"/>
    <col collapsed="false" hidden="false" max="18" min="18" style="2" width="10" customWidth="true"/>
    <col collapsed="false" hidden="false" max="19" min="19" style="2" width="10" customWidth="true"/>
    <col collapsed="false" hidden="false" max="20" min="20" style="2" width="10" customWidth="true"/>
    <col collapsed="false" hidden="false" max="21" min="21" style="2" width="10" customWidth="true"/>
    <col collapsed="false" hidden="false" max="22" min="22" style="2" width="10" customWidth="true"/>
    <col collapsed="false" hidden="false" max="23" min="23" style="2" width="10" customWidth="true"/>
    <col collapsed="false" hidden="false" max="24" min="24" style="2" width="10" customWidth="true"/>
    <col collapsed="false" hidden="false" max="25" min="25" style="2" width="10" customWidth="true"/>
    <col collapsed="false" hidden="false" max="26" min="26" style="2" width="10" customWidth="true"/>
    <col collapsed="false" hidden="false" max="27" min="27" style="2" width="10" customWidth="true"/>
    <col collapsed="false" hidden="false" max="28" min="28" style="2" width="10" customWidth="true"/>
    <col collapsed="false" hidden="false" max="29" min="29" style="2" width="10" customWidth="true"/>
    <col collapsed="false" hidden="false" max="30" min="30" style="2" width="10" customWidth="true"/>
    <col collapsed="false" hidden="false" max="31" min="31" style="2" width="10" customWidth="true"/>
    <col collapsed="false" hidden="false" max="32" min="32" style="2" width="10" customWidth="true"/>
    <col collapsed="false" hidden="false" max="33" min="33" style="2" width="10" customWidth="true"/>
    <col collapsed="false" hidden="false" max="34" min="34" style="2" width="10" customWidth="true"/>
    <col collapsed="false" hidden="false" max="35" min="35" style="2" width="10" customWidth="true"/>
    <col collapsed="false" hidden="false" max="36" min="36" style="2" width="10" customWidth="true"/>
    <col collapsed="false" hidden="false" max="37" min="37" style="2" width="10" customWidth="true"/>
    <col collapsed="false" hidden="false" max="38" min="38" style="2" width="10" customWidth="true"/>
    <col collapsed="false" hidden="false" max="39" min="39" style="2" width="10" customWidth="true"/>
    <col collapsed="false" hidden="false" max="40" min="40" style="2" width="10" customWidth="true"/>
    <col collapsed="false" hidden="false" max="41" min="41" style="2" width="10" customWidth="true"/>
    <col collapsed="false" hidden="false" max="42" min="42" style="2" width="10" customWidth="true"/>
    <col collapsed="false" hidden="false" max="43" min="43" style="2" width="10" customWidth="true"/>
    <col collapsed="false" hidden="false" max="1" min="1" style="2" width="10" customWidth="true"/>
    <col collapsed="false" hidden="false" max="2" min="2" style="2" width="10" customWidth="true"/>
    <col collapsed="false" hidden="false" max="3" min="3" style="2" width="10" customWidth="true"/>
    <col collapsed="false" hidden="false" max="4" min="4" style="2" width="10" customWidth="true"/>
    <col collapsed="false" hidden="false" max="5" min="5" style="2" width="10" customWidth="true"/>
    <col collapsed="false" hidden="false" max="6" min="6" style="2" width="10" customWidth="true"/>
    <col collapsed="false" hidden="false" max="7" min="7" style="2" width="10" customWidth="true"/>
    <col collapsed="false" hidden="false" max="8" min="8" style="2" width="10" customWidth="true"/>
    <col collapsed="false" hidden="false" max="9" min="9" style="2" width="10" customWidth="true"/>
    <col collapsed="false" hidden="false" max="10" min="10" style="2" width="10" customWidth="true"/>
    <col collapsed="false" hidden="false" max="11" min="11" style="2" width="10" customWidth="true"/>
    <col collapsed="false" hidden="false" max="12" min="12" style="2" width="10" customWidth="true"/>
    <col collapsed="false" hidden="false" max="13" min="13" style="2" width="10" customWidth="true"/>
    <col collapsed="false" hidden="false" max="14" min="14" style="2" width="10" customWidth="true"/>
    <col collapsed="false" hidden="false" max="15" min="15" style="2" width="10" customWidth="true"/>
    <col collapsed="false" hidden="false" max="16" min="16" style="2" width="10" customWidth="true"/>
    <col collapsed="false" hidden="false" max="17" min="17" style="2" width="10" customWidth="true"/>
    <col collapsed="false" hidden="false" max="18" min="18" style="2" width="10" customWidth="true"/>
    <col collapsed="false" hidden="false" max="19" min="19" style="2" width="10" customWidth="true"/>
    <col collapsed="false" hidden="false" max="20" min="20" style="2" width="10" customWidth="true"/>
    <col collapsed="false" hidden="false" max="21" min="21" style="2" width="10" customWidth="true"/>
    <col collapsed="false" hidden="false" max="22" min="22" style="2" width="10" customWidth="true"/>
    <col collapsed="false" hidden="false" max="23" min="23" style="2" width="10" customWidth="true"/>
    <col collapsed="false" hidden="false" max="24" min="24" style="2" width="10" customWidth="true"/>
    <col collapsed="false" hidden="false" max="25" min="25" style="2" width="10" customWidth="true"/>
    <col collapsed="false" hidden="false" max="26" min="26" style="2" width="10" customWidth="true"/>
    <col collapsed="false" hidden="false" max="27" min="27" style="2" width="10" customWidth="true"/>
    <col collapsed="false" hidden="false" max="28" min="28" style="2" width="10" customWidth="true"/>
    <col collapsed="false" hidden="false" max="29" min="29" style="2" width="10" customWidth="true"/>
    <col collapsed="false" hidden="false" max="30" min="30" style="2" width="10" customWidth="true"/>
    <col collapsed="false" hidden="false" max="31" min="31" style="2" width="10" customWidth="true"/>
    <col collapsed="false" hidden="false" max="32" min="32" style="2" width="10" customWidth="true"/>
    <col collapsed="false" hidden="false" max="33" min="33" style="2" width="10" customWidth="true"/>
    <col collapsed="false" hidden="false" max="34" min="34" style="2" width="10" customWidth="true"/>
    <col collapsed="false" hidden="false" max="35" min="35" style="2" width="10" customWidth="true"/>
    <col collapsed="false" hidden="false" max="36" min="36" style="2" width="10" customWidth="true"/>
    <col collapsed="false" hidden="false" max="37" min="37" style="2" width="10" customWidth="true"/>
    <col collapsed="false" hidden="false" max="38" min="38" style="2" width="10" customWidth="true"/>
    <col collapsed="false" hidden="false" max="39" min="39" style="2" width="10" customWidth="true"/>
    <col collapsed="false" hidden="false" max="40" min="40" style="2" width="10" customWidth="true"/>
    <col collapsed="false" hidden="false" max="41" min="41" style="2" width="10" customWidth="true"/>
    <col collapsed="false" hidden="false" max="42" min="42" style="2" width="10" customWidth="true"/>
    <col collapsed="false" hidden="false" max="43" min="43" style="2" width="10" customWidth="true"/>
    <col collapsed="false" hidden="false" max="1" min="1" style="0" width="10" customWidth="true"/>
    <col collapsed="false" hidden="false" max="1" min="1" style="0" width="10" customWidth="true"/>
    <col collapsed="false" hidden="false" max="3" min="3" style="2" width="10" customWidth="true"/>
    <col collapsed="false" hidden="false" max="4" min="4" style="2" width="10" customWidth="true"/>
    <col collapsed="false" hidden="false" max="5" min="5" style="2" width="10" customWidth="true"/>
    <col collapsed="false" hidden="false" max="6" min="6" style="2" width="10" customWidth="true"/>
    <col collapsed="false" hidden="false" max="7" min="7" style="2" width="10" customWidth="true"/>
    <col collapsed="false" hidden="false" max="8" min="8" style="2" width="10" customWidth="true"/>
    <col collapsed="false" hidden="false" max="9" min="9" style="2" width="10" customWidth="true"/>
    <col collapsed="false" hidden="false" max="10" min="10" style="2" width="10" customWidth="true"/>
    <col collapsed="false" hidden="false" max="11" min="11" style="2" width="10" customWidth="true"/>
    <col collapsed="false" hidden="false" max="12" min="12" style="2" width="10" customWidth="true"/>
    <col collapsed="false" hidden="false" max="13" min="13" style="2" width="10" customWidth="true"/>
    <col collapsed="false" hidden="false" max="14" min="14" style="2" width="10" customWidth="true"/>
    <col collapsed="false" hidden="false" max="15" min="15" style="2" width="10" customWidth="true"/>
    <col collapsed="false" hidden="false" max="16" min="16" style="2" width="10" customWidth="true"/>
    <col collapsed="false" hidden="false" max="17" min="17" style="2" width="10" customWidth="true"/>
    <col collapsed="false" hidden="false" max="18" min="18" style="2" width="10" customWidth="true"/>
    <col collapsed="false" hidden="false" max="19" min="19" style="2" width="10" customWidth="true"/>
    <col collapsed="false" hidden="false" max="20" min="20" style="2" width="10" customWidth="true"/>
    <col collapsed="false" hidden="false" max="21" min="21" style="2" width="10" customWidth="true"/>
    <col collapsed="false" hidden="false" max="22" min="22" style="2" width="10" customWidth="true"/>
    <col collapsed="false" hidden="false" max="23" min="23" style="2" width="10" customWidth="true"/>
    <col collapsed="false" hidden="false" max="24" min="24" style="2" width="10" customWidth="true"/>
    <col collapsed="false" hidden="false" max="25" min="25" style="2" width="10" customWidth="true"/>
    <col collapsed="false" hidden="false" max="26" min="26" style="2" width="10" customWidth="true"/>
    <col collapsed="false" hidden="false" max="27" min="27" style="2" width="10" customWidth="true"/>
    <col collapsed="false" hidden="false" max="28" min="28" style="2" width="10" customWidth="true"/>
    <col collapsed="false" hidden="false" max="29" min="29" style="2" width="10" customWidth="true"/>
    <col collapsed="false" hidden="false" max="30" min="30" style="2" width="10" customWidth="true"/>
    <col collapsed="false" hidden="false" max="31" min="31" style="2" width="10" customWidth="true"/>
    <col collapsed="false" hidden="false" max="32" min="32" style="2" width="10" customWidth="true"/>
    <col collapsed="false" hidden="false" max="33" min="33" style="2" width="10" customWidth="true"/>
    <col collapsed="false" hidden="false" max="34" min="34" style="2" width="10" customWidth="true"/>
    <col collapsed="false" hidden="false" max="35" min="35" style="2" width="10" customWidth="true"/>
    <col collapsed="false" hidden="false" max="36" min="36" style="2" width="10" customWidth="true"/>
    <col collapsed="false" hidden="false" max="37" min="37" style="2" width="10" customWidth="true"/>
    <col collapsed="false" hidden="false" max="38" min="38" style="2" width="10" customWidth="true"/>
    <col collapsed="false" hidden="false" max="39" min="39" style="2" width="10" customWidth="true"/>
    <col collapsed="false" hidden="false" max="40" min="40" style="2" width="10" customWidth="true"/>
    <col collapsed="false" hidden="false" max="41" min="41" style="2" width="10" customWidth="true"/>
    <col collapsed="false" hidden="false" max="42" min="42" style="2" width="10" customWidth="true"/>
    <col collapsed="false" hidden="false" max="43" min="43" style="2" width="10" customWidth="true"/>
  </cols>
  <sheetData>
    <row r="1">
      <c r="A1" s="13" t="s">
        <v>2</v>
      </c>
      <c r="B1" s="13" t="s">
        <v>4</v>
      </c>
      <c r="C1" s="13" t="s">
        <v>6</v>
      </c>
    </row>
    <row r="2">
      <c r="A2" s="13" t="s">
        <v>3</v>
      </c>
      <c r="B2" s="13" t="s">
        <v>5</v>
      </c>
      <c r="C2" s="13" t="s">
        <v>7</v>
      </c>
    </row>
    <row r="3">
      <c r="A3" s="13" t="s"/>
    </row>
    <row r="4"/>
    <row r="5">
      <c r="A5" s="17" t="s">
        <v>42</v>
      </c>
      <c r="B5" s="17" t="s"/>
      <c r="C5" s="17" t="s"/>
      <c r="D5" s="17" t="s"/>
      <c r="E5" s="17" t="s"/>
      <c r="F5" s="17" t="s"/>
      <c r="G5" s="17" t="s"/>
      <c r="H5" s="17">
        <f>=SUM(INDIRECT(ADDRESS(6,8)):INDIRECT(ADDRESS(1048576,8)))</f>
      </c>
      <c r="I5" s="17">
        <f>=SUM(INDIRECT(ADDRESS(6,9)):INDIRECT(ADDRESS(1048576,9)))</f>
      </c>
      <c r="J5" s="17">
        <f>=SUM(INDIRECT(ADDRESS(6,10)):INDIRECT(ADDRESS(1048576,10)))</f>
      </c>
      <c r="K5" s="17">
        <f>=SUM(INDIRECT(ADDRESS(6,11)):INDIRECT(ADDRESS(1048576,11)))</f>
      </c>
      <c r="L5" s="17">
        <f>=SUM(INDIRECT(ADDRESS(6,12)):INDIRECT(ADDRESS(1048576,12)))</f>
      </c>
      <c r="M5" s="17">
        <f>=SUM(INDIRECT(ADDRESS(6,13)):INDIRECT(ADDRESS(1048576,13)))</f>
      </c>
      <c r="N5" s="17">
        <f>=SUM(INDIRECT(ADDRESS(6,14)):INDIRECT(ADDRESS(1048576,14)))</f>
      </c>
      <c r="O5" s="17">
        <f>=SUM(INDIRECT(ADDRESS(6,15)):INDIRECT(ADDRESS(1048576,15)))</f>
      </c>
      <c r="P5" s="17">
        <f>=SUM(INDIRECT(ADDRESS(6,16)):INDIRECT(ADDRESS(1048576,16)))</f>
      </c>
      <c r="Q5" s="17">
        <f>=SUM(INDIRECT(ADDRESS(6,17)):INDIRECT(ADDRESS(1048576,17)))</f>
      </c>
      <c r="R5" s="17">
        <f>=SUM(INDIRECT(ADDRESS(6,18)):INDIRECT(ADDRESS(1048576,18)))</f>
      </c>
      <c r="S5" s="17">
        <f>=SUM(INDIRECT(ADDRESS(6,19)):INDIRECT(ADDRESS(1048576,19)))</f>
      </c>
      <c r="T5" s="17">
        <f>=SUM(INDIRECT(ADDRESS(6,20)):INDIRECT(ADDRESS(1048576,20)))</f>
      </c>
      <c r="U5" s="17">
        <f>=SUM(INDIRECT(ADDRESS(6,21)):INDIRECT(ADDRESS(1048576,21)))</f>
      </c>
      <c r="V5" s="17">
        <f>=SUM(INDIRECT(ADDRESS(6,22)):INDIRECT(ADDRESS(1048576,22)))</f>
      </c>
      <c r="W5" s="17" t="s"/>
      <c r="X5" s="17">
        <f>=SUM(INDIRECT(ADDRESS(6,24)):INDIRECT(ADDRESS(1048576,24)))</f>
      </c>
      <c r="Y5" s="17">
        <f>=SUM(INDIRECT(ADDRESS(6,25)):INDIRECT(ADDRESS(1048576,25)))</f>
      </c>
      <c r="Z5" s="17">
        <f>=SUM(INDIRECT(ADDRESS(6,26)):INDIRECT(ADDRESS(1048576,26)))</f>
      </c>
      <c r="AA5" s="17">
        <f>=SUM(INDIRECT(ADDRESS(6,27)):INDIRECT(ADDRESS(1048576,27)))</f>
      </c>
      <c r="AB5" s="17">
        <f>=SUM(INDIRECT(ADDRESS(6,28)):INDIRECT(ADDRESS(1048576,28)))</f>
      </c>
      <c r="AC5" s="17">
        <f>=SUM(INDIRECT(ADDRESS(6,29)):INDIRECT(ADDRESS(1048576,29)))</f>
      </c>
      <c r="AD5" s="17">
        <f>=SUM(INDIRECT(ADDRESS(6,30)):INDIRECT(ADDRESS(1048576,30)))</f>
      </c>
      <c r="AE5" s="17">
        <f>=SUM(INDIRECT(ADDRESS(6,31)):INDIRECT(ADDRESS(1048576,31)))</f>
      </c>
      <c r="AF5" s="17">
        <f>=SUM(INDIRECT(ADDRESS(6,32)):INDIRECT(ADDRESS(1048576,32)))</f>
      </c>
      <c r="AG5" s="17" t="s"/>
      <c r="AH5" s="17">
        <f>=SUM(INDIRECT(ADDRESS(6,34)):INDIRECT(ADDRESS(1048576,34)))</f>
      </c>
      <c r="AI5" s="17">
        <f>=SUM(INDIRECT(ADDRESS(6,35)):INDIRECT(ADDRESS(1048576,35)))</f>
      </c>
      <c r="AJ5" s="17" t="s"/>
      <c r="AK5" s="17" t="s"/>
      <c r="AL5" s="17" t="s"/>
      <c r="AM5" s="17">
        <f>=SUM(INDIRECT(ADDRESS(6,39)):INDIRECT(ADDRESS(1048576,39)))</f>
      </c>
      <c r="AN5" s="17">
        <f>=SUM(INDIRECT(ADDRESS(6,40)):INDIRECT(ADDRESS(1048576,40)))</f>
      </c>
      <c r="AO5" s="17">
        <f>=SUM(INDIRECT(ADDRESS(6,41)):INDIRECT(ADDRESS(1048576,41)))</f>
      </c>
      <c r="AP5" s="17">
        <f>=SUM(INDIRECT(ADDRESS(6,42)):INDIRECT(ADDRESS(1048576,42)))</f>
      </c>
      <c r="AQ5" s="17">
        <f>=SUM(INDIRECT(ADDRESS(6,43)):INDIRECT(ADDRESS(1048576,43)))</f>
      </c>
    </row>
    <row r="6">
      <c r="A6" s="17" t="s">
        <v>43</v>
      </c>
      <c r="B6" s="17" t="s">
        <v>44</v>
      </c>
      <c r="C6" s="17" t="s">
        <v>45</v>
      </c>
      <c r="D6" s="17" t="s">
        <v>46</v>
      </c>
      <c r="E6" s="17" t="s">
        <v>47</v>
      </c>
      <c r="F6" s="17" t="s">
        <v>48</v>
      </c>
      <c r="G6" s="17" t="s">
        <v>49</v>
      </c>
      <c r="H6" s="17" t="s">
        <v>12</v>
      </c>
      <c r="I6" s="17" t="s">
        <v>13</v>
      </c>
      <c r="J6" s="17" t="s">
        <v>14</v>
      </c>
      <c r="K6" s="17" t="s">
        <v>16</v>
      </c>
      <c r="L6" s="17" t="s">
        <v>17</v>
      </c>
      <c r="M6" s="17" t="s">
        <v>18</v>
      </c>
      <c r="N6" s="17" t="s">
        <v>19</v>
      </c>
      <c r="O6" s="17" t="s">
        <v>20</v>
      </c>
      <c r="P6" s="17" t="s">
        <v>23</v>
      </c>
      <c r="Q6" s="17" t="s">
        <v>24</v>
      </c>
      <c r="R6" s="17" t="s">
        <v>25</v>
      </c>
      <c r="S6" s="17" t="s">
        <v>26</v>
      </c>
      <c r="T6" s="17" t="s">
        <v>27</v>
      </c>
      <c r="U6" s="17" t="s">
        <v>29</v>
      </c>
      <c r="V6" s="17" t="s">
        <v>28</v>
      </c>
      <c r="W6" s="17" t="s">
        <v>31</v>
      </c>
      <c r="X6" s="17" t="s">
        <v>32</v>
      </c>
      <c r="Y6" s="17" t="s">
        <v>33</v>
      </c>
      <c r="Z6" s="17" t="s">
        <v>34</v>
      </c>
      <c r="AA6" s="17" t="s">
        <v>35</v>
      </c>
      <c r="AB6" s="17" t="s">
        <v>36</v>
      </c>
      <c r="AC6" s="17" t="s">
        <v>37</v>
      </c>
      <c r="AD6" s="17" t="s">
        <v>38</v>
      </c>
      <c r="AE6" s="17" t="s">
        <v>50</v>
      </c>
      <c r="AF6" s="17" t="s">
        <v>51</v>
      </c>
      <c r="AG6" s="17" t="s">
        <v>52</v>
      </c>
      <c r="AH6" s="17" t="s">
        <v>53</v>
      </c>
      <c r="AI6" s="17" t="s">
        <v>41</v>
      </c>
      <c r="AJ6" s="17" t="s">
        <v>54</v>
      </c>
      <c r="AK6" s="17" t="s">
        <v>55</v>
      </c>
      <c r="AL6" s="17" t="s"/>
      <c r="AM6" s="17" t="s">
        <v>56</v>
      </c>
      <c r="AN6" s="17" t="s">
        <v>57</v>
      </c>
      <c r="AO6" s="17" t="s">
        <v>58</v>
      </c>
      <c r="AP6" s="17" t="s">
        <v>59</v>
      </c>
      <c r="AQ6" s="17" t="s">
        <v>60</v>
      </c>
    </row>
    <row r="7">
      <c r="A7" s="17">
        <v>1</v>
      </c>
      <c r="B7" s="17" t="s">
        <v>61</v>
      </c>
      <c r="C7" s="17" t="s"/>
      <c r="D7" s="17" t="s">
        <v>62</v>
      </c>
      <c r="E7" s="17" t="s">
        <v>63</v>
      </c>
      <c r="F7" s="17" t="s">
        <v>64</v>
      </c>
      <c r="G7" s="17" t="s">
        <v>5</v>
      </c>
      <c r="H7" s="17">
        <v>140000</v>
      </c>
      <c r="I7" s="17">
        <v>-72950</v>
      </c>
      <c r="J7" s="17">
        <v>0</v>
      </c>
      <c r="K7" s="17">
        <v>0</v>
      </c>
      <c r="L7" s="17">
        <v>0</v>
      </c>
      <c r="M7" s="17">
        <v>0</v>
      </c>
      <c r="N7" s="17">
        <v>0</v>
      </c>
      <c r="O7" s="17">
        <v>0</v>
      </c>
      <c r="P7" s="17">
        <v>0</v>
      </c>
      <c r="Q7" s="17">
        <v>0</v>
      </c>
      <c r="R7" s="17">
        <v>10000</v>
      </c>
      <c r="S7" s="17">
        <v>-10000</v>
      </c>
      <c r="T7" s="17">
        <v>0</v>
      </c>
      <c r="U7" s="17">
        <v>0</v>
      </c>
      <c r="V7" s="17">
        <v>0</v>
      </c>
      <c r="W7" s="17">
        <v>-584</v>
      </c>
      <c r="X7" s="17">
        <v>-5532</v>
      </c>
      <c r="Y7" s="17">
        <v>-8046</v>
      </c>
      <c r="Z7" s="17">
        <v>-1250</v>
      </c>
      <c r="AA7" s="17">
        <v>0</v>
      </c>
      <c r="AB7" s="17">
        <v>0</v>
      </c>
      <c r="AC7" s="17">
        <v>0</v>
      </c>
      <c r="AD7" s="17">
        <v>0</v>
      </c>
      <c r="AE7" s="17">
        <v>0</v>
      </c>
      <c r="AF7" s="17">
        <v>51638</v>
      </c>
      <c r="AG7" s="17" t="s"/>
      <c r="AH7" s="17">
        <v>0</v>
      </c>
      <c r="AI7" s="17">
        <v>0</v>
      </c>
      <c r="AJ7" s="17" t="s">
        <v>65</v>
      </c>
      <c r="AK7" s="17" t="s">
        <v>66</v>
      </c>
      <c r="AL7" s="17" t="s"/>
      <c r="AM7" s="17">
        <v>0</v>
      </c>
      <c r="AN7" s="17">
        <v>0</v>
      </c>
      <c r="AO7" s="17">
        <v>0</v>
      </c>
      <c r="AP7" s="17">
        <v>0</v>
      </c>
      <c r="AQ7" s="17">
        <v>0</v>
      </c>
    </row>
    <row r="8">
      <c r="A8" s="17">
        <v>2</v>
      </c>
      <c r="B8" s="17" t="s">
        <v>67</v>
      </c>
      <c r="C8" s="17" t="s"/>
      <c r="D8" s="17" t="s">
        <v>68</v>
      </c>
      <c r="E8" s="17" t="s">
        <v>69</v>
      </c>
      <c r="F8" s="17" t="s">
        <v>70</v>
      </c>
      <c r="G8" s="17" t="s">
        <v>5</v>
      </c>
      <c r="H8" s="17">
        <v>120000</v>
      </c>
      <c r="I8" s="17">
        <v>-63692</v>
      </c>
      <c r="J8" s="17">
        <v>0</v>
      </c>
      <c r="K8" s="17">
        <v>0</v>
      </c>
      <c r="L8" s="17">
        <v>0</v>
      </c>
      <c r="M8" s="17">
        <v>0</v>
      </c>
      <c r="N8" s="17">
        <v>0</v>
      </c>
      <c r="O8" s="17">
        <v>0</v>
      </c>
      <c r="P8" s="17">
        <v>0</v>
      </c>
      <c r="Q8" s="17">
        <v>0</v>
      </c>
      <c r="R8" s="17">
        <v>8000</v>
      </c>
      <c r="S8" s="17">
        <v>-8000</v>
      </c>
      <c r="T8" s="17">
        <v>0</v>
      </c>
      <c r="U8" s="17">
        <v>0</v>
      </c>
      <c r="V8" s="17">
        <v>0</v>
      </c>
      <c r="W8" s="17">
        <v>0</v>
      </c>
      <c r="X8" s="17">
        <v>-4645</v>
      </c>
      <c r="Y8" s="17">
        <v>-5631</v>
      </c>
      <c r="Z8" s="17">
        <v>-1250</v>
      </c>
      <c r="AA8" s="17">
        <v>0</v>
      </c>
      <c r="AB8" s="17">
        <v>0</v>
      </c>
      <c r="AC8" s="17">
        <v>0</v>
      </c>
      <c r="AD8" s="17">
        <v>0</v>
      </c>
      <c r="AE8" s="17">
        <v>0</v>
      </c>
      <c r="AF8" s="17">
        <v>44782</v>
      </c>
      <c r="AG8" s="17" t="s"/>
      <c r="AH8" s="17">
        <v>0</v>
      </c>
      <c r="AI8" s="17">
        <v>0</v>
      </c>
      <c r="AJ8" s="17" t="s">
        <v>71</v>
      </c>
      <c r="AK8" s="17" t="s">
        <v>72</v>
      </c>
      <c r="AL8" s="17" t="s"/>
      <c r="AM8" s="17">
        <v>0</v>
      </c>
      <c r="AN8" s="17">
        <v>0</v>
      </c>
      <c r="AO8" s="17">
        <v>0</v>
      </c>
      <c r="AP8" s="17">
        <v>0</v>
      </c>
      <c r="AQ8" s="17">
        <v>0</v>
      </c>
    </row>
    <row r="9">
      <c r="A9" s="17">
        <v>3</v>
      </c>
      <c r="B9" s="17" t="s">
        <v>73</v>
      </c>
      <c r="C9" s="17" t="s"/>
      <c r="D9" s="17" t="s">
        <v>74</v>
      </c>
      <c r="E9" s="17" t="s">
        <v>75</v>
      </c>
      <c r="F9" s="17" t="s">
        <v>76</v>
      </c>
      <c r="G9" s="17" t="s">
        <v>5</v>
      </c>
      <c r="H9" s="17">
        <v>120000</v>
      </c>
      <c r="I9" s="17">
        <v>-57600</v>
      </c>
      <c r="J9" s="17">
        <v>0</v>
      </c>
      <c r="K9" s="17">
        <v>0</v>
      </c>
      <c r="L9" s="17">
        <v>0</v>
      </c>
      <c r="M9" s="17">
        <v>0</v>
      </c>
      <c r="N9" s="17">
        <v>0</v>
      </c>
      <c r="O9" s="17">
        <v>0</v>
      </c>
      <c r="P9" s="17">
        <v>0</v>
      </c>
      <c r="Q9" s="17">
        <v>0</v>
      </c>
      <c r="R9" s="17">
        <v>14000</v>
      </c>
      <c r="S9" s="17">
        <v>-14000</v>
      </c>
      <c r="T9" s="17">
        <v>0</v>
      </c>
      <c r="U9" s="17">
        <v>0</v>
      </c>
      <c r="V9" s="17">
        <v>0</v>
      </c>
      <c r="W9" s="17">
        <v>0</v>
      </c>
      <c r="X9" s="17">
        <v>-5148</v>
      </c>
      <c r="Y9" s="17">
        <v>-6240</v>
      </c>
      <c r="Z9" s="17">
        <v>-1250</v>
      </c>
      <c r="AA9" s="17">
        <v>0</v>
      </c>
      <c r="AB9" s="17">
        <v>0</v>
      </c>
      <c r="AC9" s="17">
        <v>0</v>
      </c>
      <c r="AD9" s="17">
        <v>0</v>
      </c>
      <c r="AE9" s="17">
        <v>0</v>
      </c>
      <c r="AF9" s="17">
        <v>49762</v>
      </c>
      <c r="AG9" s="17" t="s"/>
      <c r="AH9" s="17">
        <v>0</v>
      </c>
      <c r="AI9" s="17">
        <v>0</v>
      </c>
      <c r="AJ9" s="17" t="s">
        <v>65</v>
      </c>
      <c r="AK9" s="17" t="s">
        <v>66</v>
      </c>
      <c r="AL9" s="17" t="s"/>
      <c r="AM9" s="17">
        <v>0</v>
      </c>
      <c r="AN9" s="17">
        <v>0</v>
      </c>
      <c r="AO9" s="17">
        <v>0</v>
      </c>
      <c r="AP9" s="17">
        <v>0</v>
      </c>
      <c r="AQ9" s="17">
        <v>0</v>
      </c>
    </row>
    <row r="10">
      <c r="A10" s="17">
        <v>4</v>
      </c>
      <c r="B10" s="17" t="s">
        <v>77</v>
      </c>
      <c r="C10" s="17" t="s"/>
      <c r="D10" s="17" t="s">
        <v>78</v>
      </c>
      <c r="E10" s="17" t="s">
        <v>79</v>
      </c>
      <c r="F10" s="17" t="s">
        <v>70</v>
      </c>
      <c r="G10" s="17" t="s">
        <v>5</v>
      </c>
      <c r="H10" s="17">
        <v>120000</v>
      </c>
      <c r="I10" s="17">
        <v>-57600</v>
      </c>
      <c r="J10" s="17">
        <v>0</v>
      </c>
      <c r="K10" s="17">
        <v>0</v>
      </c>
      <c r="L10" s="17">
        <v>0</v>
      </c>
      <c r="M10" s="17">
        <v>0</v>
      </c>
      <c r="N10" s="17">
        <v>0</v>
      </c>
      <c r="O10" s="17">
        <v>0</v>
      </c>
      <c r="P10" s="17">
        <v>0</v>
      </c>
      <c r="Q10" s="17">
        <v>0</v>
      </c>
      <c r="R10" s="17">
        <v>15000</v>
      </c>
      <c r="S10" s="17">
        <v>-15000</v>
      </c>
      <c r="T10" s="17">
        <v>0</v>
      </c>
      <c r="U10" s="17">
        <v>0</v>
      </c>
      <c r="V10" s="17">
        <v>0</v>
      </c>
      <c r="W10" s="17">
        <v>0</v>
      </c>
      <c r="X10" s="17">
        <v>-5148</v>
      </c>
      <c r="Y10" s="17">
        <v>-6240</v>
      </c>
      <c r="Z10" s="17">
        <v>-1250</v>
      </c>
      <c r="AA10" s="17">
        <v>0</v>
      </c>
      <c r="AB10" s="17">
        <v>0</v>
      </c>
      <c r="AC10" s="17">
        <v>0</v>
      </c>
      <c r="AD10" s="17">
        <v>0</v>
      </c>
      <c r="AE10" s="17">
        <v>0</v>
      </c>
      <c r="AF10" s="17">
        <v>49762</v>
      </c>
      <c r="AG10" s="17" t="s"/>
      <c r="AH10" s="17">
        <v>0</v>
      </c>
      <c r="AI10" s="17">
        <v>0</v>
      </c>
      <c r="AJ10" s="17" t="s">
        <v>65</v>
      </c>
      <c r="AK10" s="17" t="s">
        <v>66</v>
      </c>
      <c r="AL10" s="17" t="s"/>
      <c r="AM10" s="17">
        <v>0</v>
      </c>
      <c r="AN10" s="17">
        <v>0</v>
      </c>
      <c r="AO10" s="17">
        <v>0</v>
      </c>
      <c r="AP10" s="17">
        <v>0</v>
      </c>
      <c r="AQ10" s="17">
        <v>0</v>
      </c>
    </row>
    <row r="11">
      <c r="A11" s="17">
        <v>5</v>
      </c>
      <c r="B11" s="17" t="s">
        <v>80</v>
      </c>
      <c r="C11" s="17" t="s"/>
      <c r="D11" s="17" t="s">
        <v>81</v>
      </c>
      <c r="E11" s="17" t="s">
        <v>82</v>
      </c>
      <c r="F11" s="17" t="s">
        <v>64</v>
      </c>
      <c r="G11" s="17" t="s">
        <v>5</v>
      </c>
      <c r="H11" s="17">
        <v>150000</v>
      </c>
      <c r="I11" s="17">
        <v>-75500</v>
      </c>
      <c r="J11" s="17">
        <v>0</v>
      </c>
      <c r="K11" s="17">
        <v>0</v>
      </c>
      <c r="L11" s="17">
        <v>0</v>
      </c>
      <c r="M11" s="17">
        <v>0</v>
      </c>
      <c r="N11" s="17">
        <v>0</v>
      </c>
      <c r="O11" s="17">
        <v>0</v>
      </c>
      <c r="P11" s="17">
        <v>0</v>
      </c>
      <c r="Q11" s="17">
        <v>0</v>
      </c>
      <c r="R11" s="17">
        <v>8000</v>
      </c>
      <c r="S11" s="17">
        <v>-8000</v>
      </c>
      <c r="T11" s="17">
        <v>0</v>
      </c>
      <c r="U11" s="17">
        <v>0</v>
      </c>
      <c r="V11" s="17">
        <v>0</v>
      </c>
      <c r="W11" s="17">
        <v>0</v>
      </c>
      <c r="X11" s="17">
        <v>-6146</v>
      </c>
      <c r="Y11" s="17">
        <v>-7451</v>
      </c>
      <c r="Z11" s="17">
        <v>-1250</v>
      </c>
      <c r="AA11" s="17">
        <v>0</v>
      </c>
      <c r="AB11" s="17">
        <v>0</v>
      </c>
      <c r="AC11" s="17">
        <v>0</v>
      </c>
      <c r="AD11" s="17">
        <v>0</v>
      </c>
      <c r="AE11" s="17">
        <v>0</v>
      </c>
      <c r="AF11" s="17">
        <v>59653</v>
      </c>
      <c r="AG11" s="17" t="s"/>
      <c r="AH11" s="17">
        <v>0</v>
      </c>
      <c r="AI11" s="17">
        <v>0</v>
      </c>
      <c r="AJ11" s="17" t="s">
        <v>71</v>
      </c>
      <c r="AK11" s="17" t="s">
        <v>83</v>
      </c>
      <c r="AL11" s="17" t="s"/>
      <c r="AM11" s="17">
        <v>0</v>
      </c>
      <c r="AN11" s="17">
        <v>0</v>
      </c>
      <c r="AO11" s="17">
        <v>0</v>
      </c>
      <c r="AP11" s="17">
        <v>0</v>
      </c>
      <c r="AQ11" s="17">
        <v>0</v>
      </c>
    </row>
    <row r="12">
      <c r="A12" s="17">
        <v>6</v>
      </c>
      <c r="B12" s="17" t="s">
        <v>84</v>
      </c>
      <c r="C12" s="17" t="s"/>
      <c r="D12" s="17" t="s">
        <v>85</v>
      </c>
      <c r="E12" s="17" t="s">
        <v>82</v>
      </c>
      <c r="F12" s="17" t="s">
        <v>86</v>
      </c>
      <c r="G12" s="17" t="s">
        <v>5</v>
      </c>
      <c r="H12" s="17">
        <v>240000</v>
      </c>
      <c r="I12" s="17">
        <v>-117700</v>
      </c>
      <c r="J12" s="17">
        <v>0</v>
      </c>
      <c r="K12" s="17">
        <v>0</v>
      </c>
      <c r="L12" s="17">
        <v>0</v>
      </c>
      <c r="M12" s="17">
        <v>0</v>
      </c>
      <c r="N12" s="17">
        <v>0</v>
      </c>
      <c r="O12" s="17">
        <v>0</v>
      </c>
      <c r="P12" s="17">
        <v>0</v>
      </c>
      <c r="Q12" s="17">
        <v>0</v>
      </c>
      <c r="R12" s="17">
        <v>9800</v>
      </c>
      <c r="S12" s="17">
        <v>-9800</v>
      </c>
      <c r="T12" s="17">
        <v>0</v>
      </c>
      <c r="U12" s="17">
        <v>0</v>
      </c>
      <c r="V12" s="17">
        <v>0</v>
      </c>
      <c r="W12" s="17">
        <v>-1086</v>
      </c>
      <c r="X12" s="17">
        <v>-10090</v>
      </c>
      <c r="Y12" s="17">
        <v>-14677</v>
      </c>
      <c r="Z12" s="17">
        <v>-1250</v>
      </c>
      <c r="AA12" s="17">
        <v>0</v>
      </c>
      <c r="AB12" s="17">
        <v>0</v>
      </c>
      <c r="AC12" s="17">
        <v>0</v>
      </c>
      <c r="AD12" s="17">
        <v>0</v>
      </c>
      <c r="AE12" s="17">
        <v>0</v>
      </c>
      <c r="AF12" s="17">
        <v>95197</v>
      </c>
      <c r="AG12" s="17" t="s"/>
      <c r="AH12" s="17">
        <v>0</v>
      </c>
      <c r="AI12" s="17">
        <v>0</v>
      </c>
      <c r="AJ12" s="17" t="s">
        <v>72</v>
      </c>
      <c r="AK12" s="17" t="s">
        <v>72</v>
      </c>
      <c r="AL12" s="17" t="s"/>
      <c r="AM12" s="17">
        <v>0</v>
      </c>
      <c r="AN12" s="17">
        <v>0</v>
      </c>
      <c r="AO12" s="17">
        <v>0</v>
      </c>
      <c r="AP12" s="17">
        <v>0</v>
      </c>
      <c r="AQ12" s="17">
        <v>0</v>
      </c>
    </row>
    <row r="13">
      <c r="A13" s="17">
        <v>7</v>
      </c>
      <c r="B13" s="17" t="s">
        <v>87</v>
      </c>
      <c r="C13" s="17" t="s"/>
      <c r="D13" s="17" t="s">
        <v>88</v>
      </c>
      <c r="E13" s="17" t="s">
        <v>89</v>
      </c>
      <c r="F13" s="17" t="s">
        <v>90</v>
      </c>
      <c r="G13" s="17" t="s">
        <v>5</v>
      </c>
      <c r="H13" s="17">
        <v>120000</v>
      </c>
      <c r="I13" s="17">
        <v>-57600</v>
      </c>
      <c r="J13" s="17">
        <v>0</v>
      </c>
      <c r="K13" s="17">
        <v>0</v>
      </c>
      <c r="L13" s="17">
        <v>0</v>
      </c>
      <c r="M13" s="17">
        <v>0</v>
      </c>
      <c r="N13" s="17">
        <v>0</v>
      </c>
      <c r="O13" s="17">
        <v>0</v>
      </c>
      <c r="P13" s="17">
        <v>0</v>
      </c>
      <c r="Q13" s="17">
        <v>0</v>
      </c>
      <c r="R13" s="17">
        <v>5000</v>
      </c>
      <c r="S13" s="17">
        <v>-5000</v>
      </c>
      <c r="T13" s="17">
        <v>0</v>
      </c>
      <c r="U13" s="17">
        <v>0</v>
      </c>
      <c r="V13" s="17">
        <v>0</v>
      </c>
      <c r="W13" s="17">
        <v>0</v>
      </c>
      <c r="X13" s="17">
        <v>-5148</v>
      </c>
      <c r="Y13" s="17">
        <v>-6240</v>
      </c>
      <c r="Z13" s="17">
        <v>-1250</v>
      </c>
      <c r="AA13" s="17">
        <v>0</v>
      </c>
      <c r="AB13" s="17">
        <v>0</v>
      </c>
      <c r="AC13" s="17">
        <v>0</v>
      </c>
      <c r="AD13" s="17">
        <v>0</v>
      </c>
      <c r="AE13" s="17">
        <v>0</v>
      </c>
      <c r="AF13" s="17">
        <v>49762</v>
      </c>
      <c r="AG13" s="17" t="s"/>
      <c r="AH13" s="17">
        <v>0</v>
      </c>
      <c r="AI13" s="17">
        <v>0</v>
      </c>
      <c r="AJ13" s="17" t="s">
        <v>65</v>
      </c>
      <c r="AK13" s="17" t="s">
        <v>66</v>
      </c>
      <c r="AL13" s="17" t="s"/>
      <c r="AM13" s="17">
        <v>0</v>
      </c>
      <c r="AN13" s="17">
        <v>0</v>
      </c>
      <c r="AO13" s="17">
        <v>0</v>
      </c>
      <c r="AP13" s="17">
        <v>0</v>
      </c>
      <c r="AQ13" s="17">
        <v>0</v>
      </c>
    </row>
    <row r="14">
      <c r="A14" s="17">
        <v>8</v>
      </c>
      <c r="B14" s="17" t="s">
        <v>91</v>
      </c>
      <c r="C14" s="17" t="s"/>
      <c r="D14" s="17" t="s">
        <v>92</v>
      </c>
      <c r="E14" s="17" t="s">
        <v>79</v>
      </c>
      <c r="F14" s="17" t="s">
        <v>70</v>
      </c>
      <c r="G14" s="17" t="s">
        <v>5</v>
      </c>
      <c r="H14" s="17">
        <v>120000</v>
      </c>
      <c r="I14" s="17">
        <v>-57600</v>
      </c>
      <c r="J14" s="17">
        <v>0</v>
      </c>
      <c r="K14" s="17">
        <v>0</v>
      </c>
      <c r="L14" s="17">
        <v>0</v>
      </c>
      <c r="M14" s="17">
        <v>0</v>
      </c>
      <c r="N14" s="17">
        <v>0</v>
      </c>
      <c r="O14" s="17">
        <v>0</v>
      </c>
      <c r="P14" s="17">
        <v>0</v>
      </c>
      <c r="Q14" s="17">
        <v>0</v>
      </c>
      <c r="R14" s="17">
        <v>19000</v>
      </c>
      <c r="S14" s="17">
        <v>-19000</v>
      </c>
      <c r="T14" s="17">
        <v>0</v>
      </c>
      <c r="U14" s="17">
        <v>0</v>
      </c>
      <c r="V14" s="17">
        <v>0</v>
      </c>
      <c r="W14" s="17">
        <v>-623</v>
      </c>
      <c r="X14" s="17">
        <v>-5148</v>
      </c>
      <c r="Y14" s="17">
        <v>-7488</v>
      </c>
      <c r="Z14" s="17">
        <v>-1250</v>
      </c>
      <c r="AA14" s="17">
        <v>0</v>
      </c>
      <c r="AB14" s="17">
        <v>0</v>
      </c>
      <c r="AC14" s="17">
        <v>0</v>
      </c>
      <c r="AD14" s="17">
        <v>0</v>
      </c>
      <c r="AE14" s="17">
        <v>0</v>
      </c>
      <c r="AF14" s="17">
        <v>47891</v>
      </c>
      <c r="AG14" s="17" t="s"/>
      <c r="AH14" s="17">
        <v>0</v>
      </c>
      <c r="AI14" s="17">
        <v>0</v>
      </c>
      <c r="AJ14" s="17" t="s">
        <v>65</v>
      </c>
      <c r="AK14" s="17" t="s">
        <v>66</v>
      </c>
      <c r="AL14" s="17" t="s"/>
      <c r="AM14" s="17">
        <v>0</v>
      </c>
      <c r="AN14" s="17">
        <v>0</v>
      </c>
      <c r="AO14" s="17">
        <v>0</v>
      </c>
      <c r="AP14" s="17">
        <v>0</v>
      </c>
      <c r="AQ14" s="17">
        <v>0</v>
      </c>
    </row>
    <row r="15">
      <c r="A15" s="17">
        <v>9</v>
      </c>
      <c r="B15" s="17" t="s">
        <v>93</v>
      </c>
      <c r="C15" s="17" t="s"/>
      <c r="D15" s="17" t="s">
        <v>94</v>
      </c>
      <c r="E15" s="17" t="s">
        <v>95</v>
      </c>
      <c r="F15" s="17" t="s">
        <v>70</v>
      </c>
      <c r="G15" s="17" t="s">
        <v>5</v>
      </c>
      <c r="H15" s="17">
        <v>120000</v>
      </c>
      <c r="I15" s="17">
        <v>-57600</v>
      </c>
      <c r="J15" s="17">
        <v>0</v>
      </c>
      <c r="K15" s="17">
        <v>0</v>
      </c>
      <c r="L15" s="17">
        <v>0</v>
      </c>
      <c r="M15" s="17">
        <v>0</v>
      </c>
      <c r="N15" s="17">
        <v>0</v>
      </c>
      <c r="O15" s="17">
        <v>0</v>
      </c>
      <c r="P15" s="17">
        <v>0</v>
      </c>
      <c r="Q15" s="17">
        <v>0</v>
      </c>
      <c r="R15" s="17">
        <v>8000</v>
      </c>
      <c r="S15" s="17">
        <v>-8000</v>
      </c>
      <c r="T15" s="17">
        <v>0</v>
      </c>
      <c r="U15" s="17">
        <v>0</v>
      </c>
      <c r="V15" s="17">
        <v>0</v>
      </c>
      <c r="W15" s="17">
        <v>-554</v>
      </c>
      <c r="X15" s="17">
        <v>-5148</v>
      </c>
      <c r="Y15" s="17">
        <v>-7488</v>
      </c>
      <c r="Z15" s="17">
        <v>-1250</v>
      </c>
      <c r="AA15" s="17">
        <v>0</v>
      </c>
      <c r="AB15" s="17">
        <v>0</v>
      </c>
      <c r="AC15" s="17">
        <v>0</v>
      </c>
      <c r="AD15" s="17">
        <v>0</v>
      </c>
      <c r="AE15" s="17">
        <v>0</v>
      </c>
      <c r="AF15" s="17">
        <v>47960</v>
      </c>
      <c r="AG15" s="17" t="s"/>
      <c r="AH15" s="17">
        <v>0</v>
      </c>
      <c r="AI15" s="17">
        <v>0</v>
      </c>
      <c r="AJ15" s="17" t="s">
        <v>71</v>
      </c>
      <c r="AK15" s="17" t="s">
        <v>72</v>
      </c>
      <c r="AL15" s="17" t="s"/>
      <c r="AM15" s="17">
        <v>0</v>
      </c>
      <c r="AN15" s="17">
        <v>0</v>
      </c>
      <c r="AO15" s="17">
        <v>0</v>
      </c>
      <c r="AP15" s="17">
        <v>0</v>
      </c>
      <c r="AQ15" s="17">
        <v>0</v>
      </c>
    </row>
    <row r="16">
      <c r="A16" s="17">
        <v>10</v>
      </c>
      <c r="B16" s="17" t="s">
        <v>96</v>
      </c>
      <c r="C16" s="17" t="s"/>
      <c r="D16" s="17" t="s">
        <v>97</v>
      </c>
      <c r="E16" s="17" t="s">
        <v>89</v>
      </c>
      <c r="F16" s="17" t="s">
        <v>86</v>
      </c>
      <c r="G16" s="17" t="s">
        <v>98</v>
      </c>
      <c r="H16" s="17">
        <v>120000</v>
      </c>
      <c r="I16" s="17">
        <v>-60822</v>
      </c>
      <c r="J16" s="17">
        <v>0</v>
      </c>
      <c r="K16" s="17">
        <v>0</v>
      </c>
      <c r="L16" s="17">
        <v>0</v>
      </c>
      <c r="M16" s="17">
        <v>0</v>
      </c>
      <c r="N16" s="17">
        <v>0</v>
      </c>
      <c r="O16" s="17">
        <v>0</v>
      </c>
      <c r="P16" s="17">
        <v>0</v>
      </c>
      <c r="Q16" s="17">
        <v>0</v>
      </c>
      <c r="R16" s="17">
        <v>6500</v>
      </c>
      <c r="S16" s="17">
        <v>-6500</v>
      </c>
      <c r="T16" s="17">
        <v>0</v>
      </c>
      <c r="U16" s="17">
        <v>0</v>
      </c>
      <c r="V16" s="17">
        <v>0</v>
      </c>
      <c r="W16" s="17">
        <v>-312</v>
      </c>
      <c r="X16" s="17">
        <v>-4882</v>
      </c>
      <c r="Y16" s="17">
        <v>-5918</v>
      </c>
      <c r="Z16" s="17">
        <v>-1250</v>
      </c>
      <c r="AA16" s="17">
        <v>0</v>
      </c>
      <c r="AB16" s="17">
        <v>0</v>
      </c>
      <c r="AC16" s="17">
        <v>0</v>
      </c>
      <c r="AD16" s="17">
        <v>0</v>
      </c>
      <c r="AE16" s="17">
        <v>0</v>
      </c>
      <c r="AF16" s="17">
        <v>46816</v>
      </c>
      <c r="AG16" s="17" t="s"/>
      <c r="AH16" s="17">
        <v>0</v>
      </c>
      <c r="AI16" s="17">
        <v>0</v>
      </c>
      <c r="AJ16" s="17" t="s">
        <v>71</v>
      </c>
      <c r="AK16" s="17" t="s">
        <v>72</v>
      </c>
      <c r="AL16" s="17" t="s"/>
      <c r="AM16" s="17">
        <v>0</v>
      </c>
      <c r="AN16" s="17">
        <v>0</v>
      </c>
      <c r="AO16" s="17">
        <v>0</v>
      </c>
      <c r="AP16" s="17">
        <v>0</v>
      </c>
      <c r="AQ16" s="17">
        <v>0</v>
      </c>
    </row>
    <row r="17">
      <c r="A17" s="17">
        <v>11</v>
      </c>
      <c r="B17" s="17" t="s">
        <v>99</v>
      </c>
      <c r="C17" s="17" t="s"/>
      <c r="D17" s="17" t="s">
        <v>100</v>
      </c>
      <c r="E17" s="17" t="s">
        <v>89</v>
      </c>
      <c r="F17" s="17" t="s">
        <v>76</v>
      </c>
      <c r="G17" s="17" t="s">
        <v>98</v>
      </c>
      <c r="H17" s="17">
        <v>120000</v>
      </c>
      <c r="I17" s="17">
        <v>-57600</v>
      </c>
      <c r="J17" s="17">
        <v>0</v>
      </c>
      <c r="K17" s="17">
        <v>0</v>
      </c>
      <c r="L17" s="17">
        <v>0</v>
      </c>
      <c r="M17" s="17">
        <v>0</v>
      </c>
      <c r="N17" s="17">
        <v>0</v>
      </c>
      <c r="O17" s="17">
        <v>0</v>
      </c>
      <c r="P17" s="17">
        <v>0</v>
      </c>
      <c r="Q17" s="17">
        <v>0</v>
      </c>
      <c r="R17" s="17">
        <v>5000</v>
      </c>
      <c r="S17" s="17">
        <v>-5000</v>
      </c>
      <c r="T17" s="17">
        <v>0</v>
      </c>
      <c r="U17" s="17">
        <v>0</v>
      </c>
      <c r="V17" s="17">
        <v>0</v>
      </c>
      <c r="W17" s="17">
        <v>-232</v>
      </c>
      <c r="X17" s="17">
        <v>-5148</v>
      </c>
      <c r="Y17" s="17">
        <v>-6240</v>
      </c>
      <c r="Z17" s="17">
        <v>-1250</v>
      </c>
      <c r="AA17" s="17">
        <v>0</v>
      </c>
      <c r="AB17" s="17">
        <v>0</v>
      </c>
      <c r="AC17" s="17">
        <v>0</v>
      </c>
      <c r="AD17" s="17">
        <v>0</v>
      </c>
      <c r="AE17" s="17">
        <v>0</v>
      </c>
      <c r="AF17" s="17">
        <v>49530</v>
      </c>
      <c r="AG17" s="17" t="s"/>
      <c r="AH17" s="17">
        <v>0</v>
      </c>
      <c r="AI17" s="17">
        <v>0</v>
      </c>
      <c r="AJ17" s="17" t="s">
        <v>65</v>
      </c>
      <c r="AK17" s="17" t="s">
        <v>66</v>
      </c>
      <c r="AL17" s="17" t="s"/>
      <c r="AM17" s="17">
        <v>0</v>
      </c>
      <c r="AN17" s="17">
        <v>0</v>
      </c>
      <c r="AO17" s="17">
        <v>0</v>
      </c>
      <c r="AP17" s="17">
        <v>0</v>
      </c>
      <c r="AQ17" s="17">
        <v>0</v>
      </c>
    </row>
    <row r="18">
      <c r="A18" s="17">
        <v>12</v>
      </c>
      <c r="B18" s="17" t="s">
        <v>101</v>
      </c>
      <c r="C18" s="17" t="s"/>
      <c r="D18" s="17" t="s">
        <v>102</v>
      </c>
      <c r="E18" s="17" t="s">
        <v>69</v>
      </c>
      <c r="F18" s="17" t="s">
        <v>64</v>
      </c>
      <c r="G18" s="17" t="s">
        <v>98</v>
      </c>
      <c r="H18" s="17">
        <v>120000</v>
      </c>
      <c r="I18" s="17">
        <v>-64800</v>
      </c>
      <c r="J18" s="17">
        <v>0</v>
      </c>
      <c r="K18" s="17">
        <v>0</v>
      </c>
      <c r="L18" s="17">
        <v>0</v>
      </c>
      <c r="M18" s="17">
        <v>0</v>
      </c>
      <c r="N18" s="17">
        <v>0</v>
      </c>
      <c r="O18" s="17">
        <v>0</v>
      </c>
      <c r="P18" s="17">
        <v>0</v>
      </c>
      <c r="Q18" s="17">
        <v>0</v>
      </c>
      <c r="R18" s="17">
        <v>8174</v>
      </c>
      <c r="S18" s="17">
        <v>-8174</v>
      </c>
      <c r="T18" s="17">
        <v>0</v>
      </c>
      <c r="U18" s="17">
        <v>0</v>
      </c>
      <c r="V18" s="17">
        <v>0</v>
      </c>
      <c r="W18" s="17">
        <v>0</v>
      </c>
      <c r="X18" s="17">
        <v>-4554</v>
      </c>
      <c r="Y18" s="17">
        <v>-5520</v>
      </c>
      <c r="Z18" s="17">
        <v>-1250</v>
      </c>
      <c r="AA18" s="17">
        <v>0</v>
      </c>
      <c r="AB18" s="17">
        <v>0</v>
      </c>
      <c r="AC18" s="17">
        <v>0</v>
      </c>
      <c r="AD18" s="17">
        <v>0</v>
      </c>
      <c r="AE18" s="17">
        <v>0</v>
      </c>
      <c r="AF18" s="17">
        <v>43876</v>
      </c>
      <c r="AG18" s="17" t="s"/>
      <c r="AH18" s="17">
        <v>0</v>
      </c>
      <c r="AI18" s="17">
        <v>0</v>
      </c>
      <c r="AJ18" s="17" t="s">
        <v>71</v>
      </c>
      <c r="AK18" s="17" t="s">
        <v>103</v>
      </c>
      <c r="AL18" s="17" t="s"/>
      <c r="AM18" s="17">
        <v>0</v>
      </c>
      <c r="AN18" s="17">
        <v>0</v>
      </c>
      <c r="AO18" s="17">
        <v>0</v>
      </c>
      <c r="AP18" s="17">
        <v>0</v>
      </c>
      <c r="AQ18" s="17">
        <v>0</v>
      </c>
    </row>
    <row r="19">
      <c r="A19" s="17">
        <v>13</v>
      </c>
      <c r="B19" s="17" t="s">
        <v>104</v>
      </c>
      <c r="C19" s="17" t="s"/>
      <c r="D19" s="17" t="s">
        <v>105</v>
      </c>
      <c r="E19" s="17" t="s">
        <v>95</v>
      </c>
      <c r="F19" s="17" t="s">
        <v>90</v>
      </c>
      <c r="G19" s="17" t="s">
        <v>98</v>
      </c>
      <c r="H19" s="17">
        <v>240000</v>
      </c>
      <c r="I19" s="17">
        <v>-115200</v>
      </c>
      <c r="J19" s="17">
        <v>0</v>
      </c>
      <c r="K19" s="17">
        <v>0</v>
      </c>
      <c r="L19" s="17">
        <v>0</v>
      </c>
      <c r="M19" s="17">
        <v>0</v>
      </c>
      <c r="N19" s="17">
        <v>0</v>
      </c>
      <c r="O19" s="17">
        <v>0</v>
      </c>
      <c r="P19" s="17">
        <v>0</v>
      </c>
      <c r="Q19" s="17">
        <v>0</v>
      </c>
      <c r="R19" s="17">
        <v>8000</v>
      </c>
      <c r="S19" s="17">
        <v>-8000</v>
      </c>
      <c r="T19" s="17">
        <v>0</v>
      </c>
      <c r="U19" s="17">
        <v>0</v>
      </c>
      <c r="V19" s="17">
        <v>0</v>
      </c>
      <c r="W19" s="17">
        <v>-588</v>
      </c>
      <c r="X19" s="17">
        <v>-10296</v>
      </c>
      <c r="Y19" s="17">
        <v>-12480</v>
      </c>
      <c r="Z19" s="17">
        <v>-1250</v>
      </c>
      <c r="AA19" s="17">
        <v>0</v>
      </c>
      <c r="AB19" s="17">
        <v>0</v>
      </c>
      <c r="AC19" s="17">
        <v>0</v>
      </c>
      <c r="AD19" s="17">
        <v>0</v>
      </c>
      <c r="AE19" s="17">
        <v>0</v>
      </c>
      <c r="AF19" s="17">
        <v>100186</v>
      </c>
      <c r="AG19" s="17" t="s"/>
      <c r="AH19" s="17">
        <v>0</v>
      </c>
      <c r="AI19" s="17">
        <v>0</v>
      </c>
      <c r="AJ19" s="17" t="s">
        <v>71</v>
      </c>
      <c r="AK19" s="17" t="s">
        <v>103</v>
      </c>
      <c r="AL19" s="17" t="s"/>
      <c r="AM19" s="17">
        <v>0</v>
      </c>
      <c r="AN19" s="17">
        <v>0</v>
      </c>
      <c r="AO19" s="17">
        <v>0</v>
      </c>
      <c r="AP19" s="17">
        <v>0</v>
      </c>
      <c r="AQ19" s="17">
        <v>0</v>
      </c>
    </row>
    <row r="20">
      <c r="A20" s="17">
        <v>14</v>
      </c>
      <c r="B20" s="17" t="s">
        <v>106</v>
      </c>
      <c r="C20" s="17">
        <v>224860667233352</v>
      </c>
      <c r="D20" s="17" t="s">
        <v>107</v>
      </c>
      <c r="E20" s="17" t="s">
        <v>108</v>
      </c>
      <c r="F20" s="17" t="s">
        <v>76</v>
      </c>
      <c r="G20" s="17" t="s">
        <v>98</v>
      </c>
      <c r="H20" s="17">
        <v>120000</v>
      </c>
      <c r="I20" s="17">
        <v>-57600</v>
      </c>
      <c r="J20" s="17">
        <v>-62400</v>
      </c>
      <c r="K20" s="17">
        <v>0</v>
      </c>
      <c r="L20" s="17">
        <v>0</v>
      </c>
      <c r="M20" s="17">
        <v>0</v>
      </c>
      <c r="N20" s="17">
        <v>0</v>
      </c>
      <c r="O20" s="17">
        <v>0</v>
      </c>
      <c r="P20" s="17">
        <v>0</v>
      </c>
      <c r="Q20" s="17">
        <v>0</v>
      </c>
      <c r="R20" s="17">
        <v>0</v>
      </c>
      <c r="S20" s="17">
        <v>0</v>
      </c>
      <c r="T20" s="17">
        <v>0</v>
      </c>
      <c r="U20" s="17">
        <v>0</v>
      </c>
      <c r="V20" s="17">
        <v>0</v>
      </c>
      <c r="W20" s="17">
        <v>0</v>
      </c>
      <c r="X20" s="17">
        <v>0</v>
      </c>
      <c r="Y20" s="17">
        <v>0</v>
      </c>
      <c r="Z20" s="17">
        <v>0</v>
      </c>
      <c r="AA20" s="17">
        <v>0</v>
      </c>
      <c r="AB20" s="17">
        <v>0</v>
      </c>
      <c r="AC20" s="17">
        <v>0</v>
      </c>
      <c r="AD20" s="17">
        <v>0</v>
      </c>
      <c r="AE20" s="17">
        <v>0</v>
      </c>
      <c r="AF20" s="17">
        <v>0</v>
      </c>
      <c r="AG20" s="17" t="s"/>
      <c r="AH20" s="17">
        <v>0</v>
      </c>
      <c r="AI20" s="17">
        <v>0</v>
      </c>
      <c r="AJ20" s="17" t="s">
        <v>71</v>
      </c>
      <c r="AK20" s="17" t="s">
        <v>72</v>
      </c>
      <c r="AL20" s="17" t="s"/>
      <c r="AM20" s="17">
        <v>-62400</v>
      </c>
      <c r="AN20" s="17">
        <v>0</v>
      </c>
      <c r="AO20" s="17">
        <v>0</v>
      </c>
      <c r="AP20" s="17">
        <v>0</v>
      </c>
      <c r="AQ20" s="17">
        <v>0</v>
      </c>
    </row>
    <row r="21">
      <c r="A21" s="17">
        <v>15</v>
      </c>
      <c r="B21" s="17" t="s">
        <v>109</v>
      </c>
      <c r="C21" s="17" t="s"/>
      <c r="D21" s="17" t="s">
        <v>110</v>
      </c>
      <c r="E21" s="17" t="s">
        <v>95</v>
      </c>
      <c r="F21" s="17" t="s">
        <v>70</v>
      </c>
      <c r="G21" s="17" t="s">
        <v>98</v>
      </c>
      <c r="H21" s="17">
        <v>120000</v>
      </c>
      <c r="I21" s="17">
        <v>-57600</v>
      </c>
      <c r="J21" s="17">
        <v>0</v>
      </c>
      <c r="K21" s="17">
        <v>0</v>
      </c>
      <c r="L21" s="17">
        <v>0</v>
      </c>
      <c r="M21" s="17">
        <v>0</v>
      </c>
      <c r="N21" s="17">
        <v>0</v>
      </c>
      <c r="O21" s="17">
        <v>0</v>
      </c>
      <c r="P21" s="17">
        <v>0</v>
      </c>
      <c r="Q21" s="17">
        <v>0</v>
      </c>
      <c r="R21" s="17">
        <v>8000</v>
      </c>
      <c r="S21" s="17">
        <v>-8000</v>
      </c>
      <c r="T21" s="17">
        <v>0</v>
      </c>
      <c r="U21" s="17">
        <v>0</v>
      </c>
      <c r="V21" s="17">
        <v>0</v>
      </c>
      <c r="W21" s="17">
        <v>0</v>
      </c>
      <c r="X21" s="17">
        <v>-5148</v>
      </c>
      <c r="Y21" s="17">
        <v>-6240</v>
      </c>
      <c r="Z21" s="17">
        <v>-1250</v>
      </c>
      <c r="AA21" s="17">
        <v>0</v>
      </c>
      <c r="AB21" s="17">
        <v>0</v>
      </c>
      <c r="AC21" s="17">
        <v>0</v>
      </c>
      <c r="AD21" s="17">
        <v>0</v>
      </c>
      <c r="AE21" s="17">
        <v>0</v>
      </c>
      <c r="AF21" s="17">
        <v>49762</v>
      </c>
      <c r="AG21" s="17" t="s"/>
      <c r="AH21" s="17">
        <v>0</v>
      </c>
      <c r="AI21" s="17">
        <v>0</v>
      </c>
      <c r="AJ21" s="17" t="s">
        <v>71</v>
      </c>
      <c r="AK21" s="17" t="s">
        <v>72</v>
      </c>
      <c r="AL21" s="17" t="s"/>
      <c r="AM21" s="17">
        <v>0</v>
      </c>
      <c r="AN21" s="17">
        <v>0</v>
      </c>
      <c r="AO21" s="17">
        <v>0</v>
      </c>
      <c r="AP21" s="17">
        <v>0</v>
      </c>
      <c r="AQ21" s="17">
        <v>0</v>
      </c>
    </row>
    <row r="22">
      <c r="A22" s="17">
        <v>16</v>
      </c>
      <c r="B22" s="17" t="s">
        <v>111</v>
      </c>
      <c r="C22" s="17" t="s"/>
      <c r="D22" s="17" t="s">
        <v>112</v>
      </c>
      <c r="E22" s="17" t="s">
        <v>79</v>
      </c>
      <c r="F22" s="17" t="s">
        <v>70</v>
      </c>
      <c r="G22" s="17" t="s">
        <v>98</v>
      </c>
      <c r="H22" s="17">
        <v>240000</v>
      </c>
      <c r="I22" s="17">
        <v>-115200</v>
      </c>
      <c r="J22" s="17">
        <v>0</v>
      </c>
      <c r="K22" s="17">
        <v>0</v>
      </c>
      <c r="L22" s="17">
        <v>0</v>
      </c>
      <c r="M22" s="17">
        <v>0</v>
      </c>
      <c r="N22" s="17">
        <v>0</v>
      </c>
      <c r="O22" s="17">
        <v>0</v>
      </c>
      <c r="P22" s="17">
        <v>0</v>
      </c>
      <c r="Q22" s="17">
        <v>0</v>
      </c>
      <c r="R22" s="17">
        <v>19000</v>
      </c>
      <c r="S22" s="17">
        <v>-19000</v>
      </c>
      <c r="T22" s="17">
        <v>0</v>
      </c>
      <c r="U22" s="17">
        <v>0</v>
      </c>
      <c r="V22" s="17">
        <v>0</v>
      </c>
      <c r="W22" s="17">
        <v>-1108</v>
      </c>
      <c r="X22" s="17">
        <v>-10296</v>
      </c>
      <c r="Y22" s="17">
        <v>-14976</v>
      </c>
      <c r="Z22" s="17">
        <v>-1250</v>
      </c>
      <c r="AA22" s="17">
        <v>0</v>
      </c>
      <c r="AB22" s="17">
        <v>0</v>
      </c>
      <c r="AC22" s="17">
        <v>0</v>
      </c>
      <c r="AD22" s="17">
        <v>0</v>
      </c>
      <c r="AE22" s="17">
        <v>0</v>
      </c>
      <c r="AF22" s="17">
        <v>97170</v>
      </c>
      <c r="AG22" s="17" t="s"/>
      <c r="AH22" s="17">
        <v>0</v>
      </c>
      <c r="AI22" s="17">
        <v>0</v>
      </c>
      <c r="AJ22" s="17" t="s">
        <v>65</v>
      </c>
      <c r="AK22" s="17" t="s">
        <v>66</v>
      </c>
      <c r="AL22" s="17" t="s"/>
      <c r="AM22" s="17">
        <v>0</v>
      </c>
      <c r="AN22" s="17">
        <v>0</v>
      </c>
      <c r="AO22" s="17">
        <v>0</v>
      </c>
      <c r="AP22" s="17">
        <v>0</v>
      </c>
      <c r="AQ22" s="17">
        <v>0</v>
      </c>
    </row>
    <row r="23">
      <c r="A23" s="17">
        <v>17</v>
      </c>
      <c r="B23" s="17" t="s">
        <v>113</v>
      </c>
      <c r="C23" s="17" t="s"/>
      <c r="D23" s="17" t="s">
        <v>114</v>
      </c>
      <c r="E23" s="17" t="s">
        <v>69</v>
      </c>
      <c r="F23" s="17" t="s">
        <v>70</v>
      </c>
      <c r="G23" s="17" t="s">
        <v>98</v>
      </c>
      <c r="H23" s="17">
        <v>120000</v>
      </c>
      <c r="I23" s="17">
        <v>-57600</v>
      </c>
      <c r="J23" s="17">
        <v>0</v>
      </c>
      <c r="K23" s="17">
        <v>0</v>
      </c>
      <c r="L23" s="17">
        <v>0</v>
      </c>
      <c r="M23" s="17">
        <v>0</v>
      </c>
      <c r="N23" s="17">
        <v>0</v>
      </c>
      <c r="O23" s="17">
        <v>0</v>
      </c>
      <c r="P23" s="17">
        <v>0</v>
      </c>
      <c r="Q23" s="17">
        <v>0</v>
      </c>
      <c r="R23" s="17">
        <v>8000</v>
      </c>
      <c r="S23" s="17">
        <v>-8000</v>
      </c>
      <c r="T23" s="17">
        <v>0</v>
      </c>
      <c r="U23" s="17">
        <v>0</v>
      </c>
      <c r="V23" s="17">
        <v>0</v>
      </c>
      <c r="W23" s="17">
        <v>-277</v>
      </c>
      <c r="X23" s="17">
        <v>-5148</v>
      </c>
      <c r="Y23" s="17">
        <v>-6240</v>
      </c>
      <c r="Z23" s="17">
        <v>-1250</v>
      </c>
      <c r="AA23" s="17">
        <v>0</v>
      </c>
      <c r="AB23" s="17">
        <v>0</v>
      </c>
      <c r="AC23" s="17">
        <v>0</v>
      </c>
      <c r="AD23" s="17">
        <v>0</v>
      </c>
      <c r="AE23" s="17">
        <v>0</v>
      </c>
      <c r="AF23" s="17">
        <v>49485</v>
      </c>
      <c r="AG23" s="17" t="s"/>
      <c r="AH23" s="17">
        <v>0</v>
      </c>
      <c r="AI23" s="17">
        <v>0</v>
      </c>
      <c r="AJ23" s="17" t="s">
        <v>71</v>
      </c>
      <c r="AK23" s="17" t="s">
        <v>72</v>
      </c>
      <c r="AL23" s="17" t="s"/>
      <c r="AM23" s="17">
        <v>0</v>
      </c>
      <c r="AN23" s="17">
        <v>0</v>
      </c>
      <c r="AO23" s="17">
        <v>0</v>
      </c>
      <c r="AP23" s="17">
        <v>0</v>
      </c>
      <c r="AQ23" s="17">
        <v>0</v>
      </c>
    </row>
    <row r="24">
      <c r="A24" s="17">
        <v>18</v>
      </c>
      <c r="B24" s="17" t="s">
        <v>115</v>
      </c>
      <c r="C24" s="17" t="s"/>
      <c r="D24" s="17" t="s">
        <v>116</v>
      </c>
      <c r="E24" s="17" t="s">
        <v>117</v>
      </c>
      <c r="F24" s="17" t="s">
        <v>70</v>
      </c>
      <c r="G24" s="17" t="s">
        <v>98</v>
      </c>
      <c r="H24" s="17">
        <v>240000</v>
      </c>
      <c r="I24" s="17">
        <v>-115200</v>
      </c>
      <c r="J24" s="17">
        <v>0</v>
      </c>
      <c r="K24" s="17">
        <v>0</v>
      </c>
      <c r="L24" s="17">
        <v>0</v>
      </c>
      <c r="M24" s="17">
        <v>0</v>
      </c>
      <c r="N24" s="17">
        <v>0</v>
      </c>
      <c r="O24" s="17">
        <v>0</v>
      </c>
      <c r="P24" s="17">
        <v>0</v>
      </c>
      <c r="Q24" s="17">
        <v>0</v>
      </c>
      <c r="R24" s="17">
        <v>30000</v>
      </c>
      <c r="S24" s="17">
        <v>-30000</v>
      </c>
      <c r="T24" s="17">
        <v>0</v>
      </c>
      <c r="U24" s="17">
        <v>0</v>
      </c>
      <c r="V24" s="17">
        <v>0</v>
      </c>
      <c r="W24" s="17">
        <v>0</v>
      </c>
      <c r="X24" s="17">
        <v>-10296</v>
      </c>
      <c r="Y24" s="17">
        <v>-12480</v>
      </c>
      <c r="Z24" s="17">
        <v>-1250</v>
      </c>
      <c r="AA24" s="17">
        <v>0</v>
      </c>
      <c r="AB24" s="17">
        <v>0</v>
      </c>
      <c r="AC24" s="17">
        <v>0</v>
      </c>
      <c r="AD24" s="17">
        <v>0</v>
      </c>
      <c r="AE24" s="17">
        <v>0</v>
      </c>
      <c r="AF24" s="17">
        <v>100774</v>
      </c>
      <c r="AG24" s="17" t="s"/>
      <c r="AH24" s="17">
        <v>0</v>
      </c>
      <c r="AI24" s="17">
        <v>0</v>
      </c>
      <c r="AJ24" s="17" t="s">
        <v>65</v>
      </c>
      <c r="AK24" s="17" t="s">
        <v>66</v>
      </c>
      <c r="AL24" s="17" t="s"/>
      <c r="AM24" s="17">
        <v>0</v>
      </c>
      <c r="AN24" s="17">
        <v>0</v>
      </c>
      <c r="AO24" s="17">
        <v>0</v>
      </c>
      <c r="AP24" s="17">
        <v>0</v>
      </c>
      <c r="AQ24" s="17">
        <v>0</v>
      </c>
    </row>
    <row r="25">
      <c r="A25" s="17">
        <v>19</v>
      </c>
      <c r="B25" s="17" t="s">
        <v>118</v>
      </c>
      <c r="C25" s="17" t="s"/>
      <c r="D25" s="17" t="s">
        <v>119</v>
      </c>
      <c r="E25" s="17" t="s">
        <v>69</v>
      </c>
      <c r="F25" s="17" t="s">
        <v>86</v>
      </c>
      <c r="G25" s="17" t="s">
        <v>98</v>
      </c>
      <c r="H25" s="17">
        <v>120000</v>
      </c>
      <c r="I25" s="17">
        <v>-57600</v>
      </c>
      <c r="J25" s="17">
        <v>0</v>
      </c>
      <c r="K25" s="17">
        <v>0</v>
      </c>
      <c r="L25" s="17">
        <v>0</v>
      </c>
      <c r="M25" s="17">
        <v>0</v>
      </c>
      <c r="N25" s="17">
        <v>0</v>
      </c>
      <c r="O25" s="17">
        <v>0</v>
      </c>
      <c r="P25" s="17">
        <v>0</v>
      </c>
      <c r="Q25" s="17">
        <v>0</v>
      </c>
      <c r="R25" s="17">
        <v>5000</v>
      </c>
      <c r="S25" s="17">
        <v>-5000</v>
      </c>
      <c r="T25" s="17">
        <v>0</v>
      </c>
      <c r="U25" s="17">
        <v>0</v>
      </c>
      <c r="V25" s="17">
        <v>0</v>
      </c>
      <c r="W25" s="17">
        <v>-232</v>
      </c>
      <c r="X25" s="17">
        <v>-5148</v>
      </c>
      <c r="Y25" s="17">
        <v>-6240</v>
      </c>
      <c r="Z25" s="17">
        <v>-1250</v>
      </c>
      <c r="AA25" s="17">
        <v>0</v>
      </c>
      <c r="AB25" s="17">
        <v>0</v>
      </c>
      <c r="AC25" s="17">
        <v>0</v>
      </c>
      <c r="AD25" s="17">
        <v>0</v>
      </c>
      <c r="AE25" s="17">
        <v>0</v>
      </c>
      <c r="AF25" s="17">
        <v>49530</v>
      </c>
      <c r="AG25" s="17" t="s"/>
      <c r="AH25" s="17">
        <v>0</v>
      </c>
      <c r="AI25" s="17">
        <v>0</v>
      </c>
      <c r="AJ25" s="17" t="s">
        <v>65</v>
      </c>
      <c r="AK25" s="17" t="s">
        <v>66</v>
      </c>
      <c r="AL25" s="17" t="s"/>
      <c r="AM25" s="17">
        <v>0</v>
      </c>
      <c r="AN25" s="17">
        <v>0</v>
      </c>
      <c r="AO25" s="17">
        <v>0</v>
      </c>
      <c r="AP25" s="17">
        <v>0</v>
      </c>
      <c r="AQ25" s="17">
        <v>0</v>
      </c>
    </row>
    <row r="26">
      <c r="A26" s="17">
        <v>20</v>
      </c>
      <c r="B26" s="17" t="s">
        <v>120</v>
      </c>
      <c r="C26" s="17" t="s"/>
      <c r="D26" s="17" t="s">
        <v>121</v>
      </c>
      <c r="E26" s="17" t="s">
        <v>89</v>
      </c>
      <c r="F26" s="17" t="s">
        <v>70</v>
      </c>
      <c r="G26" s="17" t="s">
        <v>7</v>
      </c>
      <c r="H26" s="17">
        <v>120000</v>
      </c>
      <c r="I26" s="17">
        <v>-57600</v>
      </c>
      <c r="J26" s="17">
        <v>0</v>
      </c>
      <c r="K26" s="17">
        <v>0</v>
      </c>
      <c r="L26" s="17">
        <v>0</v>
      </c>
      <c r="M26" s="17">
        <v>0</v>
      </c>
      <c r="N26" s="17">
        <v>0</v>
      </c>
      <c r="O26" s="17">
        <v>0</v>
      </c>
      <c r="P26" s="17">
        <v>0</v>
      </c>
      <c r="Q26" s="17">
        <v>0</v>
      </c>
      <c r="R26" s="17">
        <v>14000</v>
      </c>
      <c r="S26" s="17">
        <v>-14000</v>
      </c>
      <c r="T26" s="17">
        <v>0</v>
      </c>
      <c r="U26" s="17">
        <v>0</v>
      </c>
      <c r="V26" s="17">
        <v>0</v>
      </c>
      <c r="W26" s="17">
        <v>-312</v>
      </c>
      <c r="X26" s="17">
        <v>-5148</v>
      </c>
      <c r="Y26" s="17">
        <v>-6240</v>
      </c>
      <c r="Z26" s="17">
        <v>-1250</v>
      </c>
      <c r="AA26" s="17">
        <v>0</v>
      </c>
      <c r="AB26" s="17">
        <v>0</v>
      </c>
      <c r="AC26" s="17">
        <v>0</v>
      </c>
      <c r="AD26" s="17">
        <v>0</v>
      </c>
      <c r="AE26" s="17">
        <v>0</v>
      </c>
      <c r="AF26" s="17">
        <v>49450</v>
      </c>
      <c r="AG26" s="17" t="s"/>
      <c r="AH26" s="17">
        <v>0</v>
      </c>
      <c r="AI26" s="17">
        <v>0</v>
      </c>
      <c r="AJ26" s="17" t="s">
        <v>65</v>
      </c>
      <c r="AK26" s="17" t="s">
        <v>66</v>
      </c>
      <c r="AL26" s="17" t="s"/>
      <c r="AM26" s="17">
        <v>0</v>
      </c>
      <c r="AN26" s="17">
        <v>0</v>
      </c>
      <c r="AO26" s="17">
        <v>0</v>
      </c>
      <c r="AP26" s="17">
        <v>0</v>
      </c>
      <c r="AQ26" s="17">
        <v>0</v>
      </c>
    </row>
    <row r="27">
      <c r="A27" s="17">
        <v>21</v>
      </c>
      <c r="B27" s="17" t="s">
        <v>122</v>
      </c>
      <c r="C27" s="17" t="s"/>
      <c r="D27" s="17" t="s">
        <v>123</v>
      </c>
      <c r="E27" s="17" t="s">
        <v>79</v>
      </c>
      <c r="F27" s="17" t="s">
        <v>70</v>
      </c>
      <c r="G27" s="17" t="s">
        <v>7</v>
      </c>
      <c r="H27" s="17">
        <v>120000</v>
      </c>
      <c r="I27" s="17">
        <v>-57600</v>
      </c>
      <c r="J27" s="17">
        <v>0</v>
      </c>
      <c r="K27" s="17">
        <v>0</v>
      </c>
      <c r="L27" s="17">
        <v>0</v>
      </c>
      <c r="M27" s="17">
        <v>0</v>
      </c>
      <c r="N27" s="17">
        <v>0</v>
      </c>
      <c r="O27" s="17">
        <v>0</v>
      </c>
      <c r="P27" s="17">
        <v>0</v>
      </c>
      <c r="Q27" s="17">
        <v>0</v>
      </c>
      <c r="R27" s="17">
        <v>14000</v>
      </c>
      <c r="S27" s="17">
        <v>-14000</v>
      </c>
      <c r="T27" s="17">
        <v>0</v>
      </c>
      <c r="U27" s="17">
        <v>0</v>
      </c>
      <c r="V27" s="17">
        <v>0</v>
      </c>
      <c r="W27" s="17">
        <v>-554</v>
      </c>
      <c r="X27" s="17">
        <v>-5148</v>
      </c>
      <c r="Y27" s="17">
        <v>-7488</v>
      </c>
      <c r="Z27" s="17">
        <v>-1250</v>
      </c>
      <c r="AA27" s="17">
        <v>0</v>
      </c>
      <c r="AB27" s="17">
        <v>0</v>
      </c>
      <c r="AC27" s="17">
        <v>0</v>
      </c>
      <c r="AD27" s="17">
        <v>0</v>
      </c>
      <c r="AE27" s="17">
        <v>0</v>
      </c>
      <c r="AF27" s="17">
        <v>47960</v>
      </c>
      <c r="AG27" s="17" t="s"/>
      <c r="AH27" s="17">
        <v>0</v>
      </c>
      <c r="AI27" s="17">
        <v>0</v>
      </c>
      <c r="AJ27" s="17" t="s">
        <v>65</v>
      </c>
      <c r="AK27" s="17" t="s">
        <v>66</v>
      </c>
      <c r="AL27" s="17" t="s"/>
      <c r="AM27" s="17">
        <v>0</v>
      </c>
      <c r="AN27" s="17">
        <v>0</v>
      </c>
      <c r="AO27" s="17">
        <v>0</v>
      </c>
      <c r="AP27" s="17">
        <v>0</v>
      </c>
      <c r="AQ27" s="17">
        <v>0</v>
      </c>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sheetPr filterMode="false">
    <pageSetUpPr fitToPage="false"/>
  </sheetPr>
  <dimension ref="A1:E22"/>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0" width="10" customWidth="true"/>
    <col collapsed="false" hidden="false" max="1" min="1" style="0" width="10" customWidth="true"/>
    <col collapsed="false" hidden="false" max="1" min="1" style="0" width="10" customWidth="true"/>
    <col collapsed="false" hidden="false" max="4" min="4" style="2" width="10" customWidth="true"/>
    <col collapsed="false" hidden="false" max="5" min="5" style="2" width="10" customWidth="true"/>
    <col collapsed="false" hidden="false" max="1" min="1" style="2" width="10" customWidth="true"/>
    <col collapsed="false" hidden="false" max="2" min="2" style="2" width="10" customWidth="true"/>
    <col collapsed="false" hidden="false" max="3" min="3" style="2" width="10" customWidth="true"/>
    <col collapsed="false" hidden="false" max="4" min="4" style="2" width="10" customWidth="true"/>
    <col collapsed="false" hidden="false" max="5" min="5" style="2" width="10" customWidth="true"/>
    <col collapsed="false" hidden="false" max="1" min="1" style="0" width="10" customWidth="true"/>
    <col collapsed="false" hidden="false" max="1" min="1" style="0" width="10" customWidth="true"/>
    <col collapsed="false" hidden="false" max="1" min="1" style="0" width="10" customWidth="true"/>
    <col collapsed="false" hidden="false" max="4" min="4" style="2" width="10" customWidth="true"/>
    <col collapsed="false" hidden="false" max="5" min="5" style="2" width="10" customWidth="true"/>
  </cols>
  <sheetData>
    <row r="1">
      <c r="A1" s="13" t="s"/>
      <c r="B1" s="13" t="s"/>
      <c r="C1" s="18" t="s">
        <v>33</v>
      </c>
      <c r="D1" s="18" t="s"/>
      <c r="E1" s="18" t="s"/>
    </row>
    <row r="2">
      <c r="A2" s="13" t="s">
        <v>43</v>
      </c>
      <c r="B2" s="13" t="s">
        <v>44</v>
      </c>
      <c r="C2" s="13" t="s">
        <v>124</v>
      </c>
      <c r="D2" s="13" t="s">
        <v>125</v>
      </c>
      <c r="E2" s="13" t="s">
        <v>126</v>
      </c>
    </row>
    <row r="3">
      <c r="A3" s="13">
        <v>1</v>
      </c>
      <c r="B3" s="13" t="s">
        <v>61</v>
      </c>
      <c r="C3" s="13">
        <v>-3688</v>
      </c>
      <c r="D3" s="13">
        <v>-3017</v>
      </c>
      <c r="E3" s="13">
        <v>-1341</v>
      </c>
    </row>
    <row r="4">
      <c r="A4" s="13">
        <v>2</v>
      </c>
      <c r="B4" s="13" t="s">
        <v>67</v>
      </c>
      <c r="C4" s="13">
        <v>-3097</v>
      </c>
      <c r="D4" s="13">
        <v>-2534</v>
      </c>
      <c r="E4" s="13">
        <v>0</v>
      </c>
    </row>
    <row r="5">
      <c r="A5" s="13">
        <v>3</v>
      </c>
      <c r="B5" s="13" t="s">
        <v>73</v>
      </c>
      <c r="C5" s="13">
        <v>-3432</v>
      </c>
      <c r="D5" s="13">
        <v>-2808</v>
      </c>
      <c r="E5" s="13">
        <v>0</v>
      </c>
    </row>
    <row r="6">
      <c r="A6" s="13">
        <v>4</v>
      </c>
      <c r="B6" s="13" t="s">
        <v>77</v>
      </c>
      <c r="C6" s="13">
        <v>-3432</v>
      </c>
      <c r="D6" s="13">
        <v>-2808</v>
      </c>
      <c r="E6" s="13">
        <v>0</v>
      </c>
    </row>
    <row r="7">
      <c r="A7" s="13">
        <v>5</v>
      </c>
      <c r="B7" s="13" t="s">
        <v>80</v>
      </c>
      <c r="C7" s="13">
        <v>-4098</v>
      </c>
      <c r="D7" s="13">
        <v>-3353</v>
      </c>
      <c r="E7" s="13">
        <v>0</v>
      </c>
    </row>
    <row r="8">
      <c r="A8" s="13">
        <v>6</v>
      </c>
      <c r="B8" s="13" t="s">
        <v>84</v>
      </c>
      <c r="C8" s="13">
        <v>-6727</v>
      </c>
      <c r="D8" s="13">
        <v>-5504</v>
      </c>
      <c r="E8" s="13">
        <v>-2446</v>
      </c>
    </row>
    <row r="9">
      <c r="A9" s="13">
        <v>7</v>
      </c>
      <c r="B9" s="13" t="s">
        <v>87</v>
      </c>
      <c r="C9" s="13">
        <v>-3432</v>
      </c>
      <c r="D9" s="13">
        <v>-2808</v>
      </c>
      <c r="E9" s="13">
        <v>0</v>
      </c>
    </row>
    <row r="10">
      <c r="A10" s="13">
        <v>8</v>
      </c>
      <c r="B10" s="13" t="s">
        <v>91</v>
      </c>
      <c r="C10" s="13">
        <v>-3432</v>
      </c>
      <c r="D10" s="13">
        <v>-2808</v>
      </c>
      <c r="E10" s="13">
        <v>-1248</v>
      </c>
    </row>
    <row r="11">
      <c r="A11" s="13">
        <v>9</v>
      </c>
      <c r="B11" s="13" t="s">
        <v>93</v>
      </c>
      <c r="C11" s="13">
        <v>-3432</v>
      </c>
      <c r="D11" s="13">
        <v>-2808</v>
      </c>
      <c r="E11" s="13">
        <v>-1248</v>
      </c>
    </row>
    <row r="12">
      <c r="A12" s="13">
        <v>10</v>
      </c>
      <c r="B12" s="13" t="s">
        <v>96</v>
      </c>
      <c r="C12" s="13">
        <v>-3255</v>
      </c>
      <c r="D12" s="13">
        <v>-2663</v>
      </c>
      <c r="E12" s="13">
        <v>0</v>
      </c>
    </row>
    <row r="13">
      <c r="A13" s="13">
        <v>11</v>
      </c>
      <c r="B13" s="13" t="s">
        <v>99</v>
      </c>
      <c r="C13" s="13">
        <v>-3432</v>
      </c>
      <c r="D13" s="13">
        <v>-2808</v>
      </c>
      <c r="E13" s="13">
        <v>0</v>
      </c>
    </row>
    <row r="14">
      <c r="A14" s="13">
        <v>12</v>
      </c>
      <c r="B14" s="13" t="s">
        <v>101</v>
      </c>
      <c r="C14" s="13">
        <v>-3036</v>
      </c>
      <c r="D14" s="13">
        <v>-2484</v>
      </c>
      <c r="E14" s="13">
        <v>0</v>
      </c>
    </row>
    <row r="15">
      <c r="A15" s="13">
        <v>13</v>
      </c>
      <c r="B15" s="13" t="s">
        <v>104</v>
      </c>
      <c r="C15" s="13">
        <v>-6864</v>
      </c>
      <c r="D15" s="13">
        <v>-5616</v>
      </c>
      <c r="E15" s="13">
        <v>0</v>
      </c>
    </row>
    <row r="16">
      <c r="A16" s="13">
        <v>14</v>
      </c>
      <c r="B16" s="13" t="s">
        <v>109</v>
      </c>
      <c r="C16" s="13">
        <v>-3432</v>
      </c>
      <c r="D16" s="13">
        <v>-2808</v>
      </c>
      <c r="E16" s="13">
        <v>0</v>
      </c>
    </row>
    <row r="17">
      <c r="A17" s="13">
        <v>15</v>
      </c>
      <c r="B17" s="13" t="s">
        <v>111</v>
      </c>
      <c r="C17" s="13">
        <v>-6864</v>
      </c>
      <c r="D17" s="13">
        <v>-5616</v>
      </c>
      <c r="E17" s="13">
        <v>-2496</v>
      </c>
    </row>
    <row r="18">
      <c r="A18" s="13">
        <v>16</v>
      </c>
      <c r="B18" s="13" t="s">
        <v>113</v>
      </c>
      <c r="C18" s="13">
        <v>-3432</v>
      </c>
      <c r="D18" s="13">
        <v>-2808</v>
      </c>
      <c r="E18" s="13">
        <v>0</v>
      </c>
    </row>
    <row r="19">
      <c r="A19" s="13">
        <v>17</v>
      </c>
      <c r="B19" s="13" t="s">
        <v>115</v>
      </c>
      <c r="C19" s="13">
        <v>-6864</v>
      </c>
      <c r="D19" s="13">
        <v>-5616</v>
      </c>
      <c r="E19" s="13">
        <v>0</v>
      </c>
    </row>
    <row r="20">
      <c r="A20" s="13">
        <v>18</v>
      </c>
      <c r="B20" s="13" t="s">
        <v>118</v>
      </c>
      <c r="C20" s="13">
        <v>-3432</v>
      </c>
      <c r="D20" s="13">
        <v>-2808</v>
      </c>
      <c r="E20" s="13">
        <v>0</v>
      </c>
    </row>
    <row r="21">
      <c r="A21" s="13">
        <v>19</v>
      </c>
      <c r="B21" s="13" t="s">
        <v>120</v>
      </c>
      <c r="C21" s="13">
        <v>-3432</v>
      </c>
      <c r="D21" s="13">
        <v>-2808</v>
      </c>
      <c r="E21" s="13">
        <v>0</v>
      </c>
    </row>
    <row r="22">
      <c r="A22" s="13">
        <v>20</v>
      </c>
      <c r="B22" s="13" t="s">
        <v>122</v>
      </c>
      <c r="C22" s="13">
        <v>-3432</v>
      </c>
      <c r="D22" s="13">
        <v>-2808</v>
      </c>
      <c r="E22" s="13">
        <v>-1248</v>
      </c>
    </row>
  </sheetData>
  <mergeCells xmlns="" count="1">
    <mergeCell ref="C1:E1"/>
  </mergeCells>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4.xml><?xml version="1.0" encoding="utf-8"?>
<worksheet xmlns="http://schemas.openxmlformats.org/spreadsheetml/2006/main">
  <sheetPr filterMode="false">
    <pageSetUpPr fitToPage="false"/>
  </sheetPr>
  <dimension ref="A1:O3"/>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2" width="10" customWidth="true"/>
    <col collapsed="false" hidden="false" max="2" min="2" style="2" width="10" customWidth="true"/>
    <col collapsed="false" hidden="false" max="3" min="3" style="2" width="10" customWidth="true"/>
    <col collapsed="false" hidden="false" max="4" min="4" style="2" width="10" customWidth="true"/>
    <col collapsed="false" hidden="false" max="5" min="5" style="2" width="10" customWidth="true"/>
    <col collapsed="false" hidden="false" max="6" min="6" style="2" width="10" customWidth="true"/>
    <col collapsed="false" hidden="false" max="7" min="7" style="2" width="10" customWidth="true"/>
    <col collapsed="false" hidden="false" max="8" min="8" style="2" width="10" customWidth="true"/>
    <col collapsed="false" hidden="false" max="9" min="9" style="2" width="10" customWidth="true"/>
    <col collapsed="false" hidden="false" max="10" min="10" style="2" width="10" customWidth="true"/>
    <col collapsed="false" hidden="false" max="11" min="11" style="2" width="10" customWidth="true"/>
    <col collapsed="false" hidden="false" max="12" min="12" style="2" width="10" customWidth="true"/>
    <col collapsed="false" hidden="false" max="13" min="13" style="2" width="10" customWidth="true"/>
    <col collapsed="false" hidden="false" max="14" min="14" style="2" width="10" customWidth="true"/>
    <col collapsed="false" hidden="false" max="15" min="15" style="2"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s>
  <sheetData>
    <row r="1" ht="50" customHeight="true">
      <c r="A1" s="19" t="s">
        <v>127</v>
      </c>
      <c r="B1" s="19" t="s"/>
      <c r="C1" s="19" t="s"/>
      <c r="D1" s="19" t="s"/>
      <c r="E1" s="19" t="s"/>
      <c r="F1" s="19" t="s"/>
      <c r="G1" s="19" t="s"/>
      <c r="H1" s="19" t="s"/>
      <c r="I1" s="19" t="s"/>
      <c r="J1" s="19" t="s"/>
      <c r="K1" s="19" t="s"/>
      <c r="L1" s="19" t="s"/>
      <c r="M1" s="19" t="s"/>
      <c r="N1" s="19" t="s"/>
      <c r="O1" s="19" t="s"/>
    </row>
    <row r="2">
      <c r="A2" s="20" t="s">
        <v>44</v>
      </c>
      <c r="B2" s="20" t="s">
        <v>128</v>
      </c>
      <c r="C2" s="20" t="s">
        <v>129</v>
      </c>
      <c r="D2" s="20" t="s">
        <v>130</v>
      </c>
      <c r="E2" s="20" t="s"/>
      <c r="F2" s="20" t="s"/>
      <c r="G2" s="20" t="s"/>
    </row>
    <row r="3">
      <c r="A3" s="21" t="s">
        <v>101</v>
      </c>
      <c r="B3" s="21">
        <v>6500</v>
      </c>
      <c r="C3" s="21">
        <v>8174</v>
      </c>
      <c r="D3" s="21" t="s">
        <v>131</v>
      </c>
      <c r="E3" s="21" t="s"/>
      <c r="F3" s="21" t="s"/>
      <c r="G3" s="21" t="s"/>
    </row>
  </sheetData>
  <mergeCells xmlns="" count="1">
    <mergeCell ref="A1:O1"/>
  </mergeCells>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5.xml><?xml version="1.0" encoding="utf-8"?>
<worksheet xmlns="http://schemas.openxmlformats.org/spreadsheetml/2006/main">
  <sheetPr filterMode="false">
    <pageSetUpPr fitToPage="false"/>
  </sheetPr>
  <dimension ref="A1:G45"/>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6384" min="1" style="22" width="10" customWidth="true"/>
    <col collapsed="false" hidden="false" max="16384" min="1" style="22" width="10" customWidth="true"/>
    <col collapsed="false" hidden="false" max="16384" min="1" style="22" width="10" customWidth="true"/>
    <col collapsed="false" hidden="false" max="4" min="4" style="2" width="10" customWidth="true"/>
    <col collapsed="false" hidden="false" max="5" min="5" style="2" width="10" customWidth="true"/>
    <col collapsed="false" hidden="false" max="6" min="6" style="2" width="10" customWidth="true"/>
    <col collapsed="false" hidden="false" max="7" min="7" style="2" width="10" customWidth="true"/>
    <col collapsed="false" hidden="false" max="1" min="1" style="2" width="10" customWidth="true"/>
    <col collapsed="false" hidden="false" max="2" min="2" style="2" width="10" customWidth="true"/>
    <col collapsed="false" hidden="false" max="3" min="3" style="2" width="10" customWidth="true"/>
    <col collapsed="false" hidden="false" max="4" min="4" style="2" width="10" customWidth="true"/>
    <col collapsed="false" hidden="false" max="5" min="5" style="2" width="10" customWidth="true"/>
    <col collapsed="false" hidden="false" max="6" min="6" style="2" width="10" customWidth="true"/>
    <col collapsed="false" hidden="false" max="7" min="7" style="2" width="10" customWidth="true"/>
    <col collapsed="false" hidden="false" max="16384" min="1" style="22" width="10" customWidth="true"/>
    <col collapsed="false" hidden="false" max="16384" min="1" style="22" width="10" customWidth="true"/>
    <col collapsed="false" hidden="false" max="16384" min="1" style="22" width="10" customWidth="true"/>
    <col collapsed="false" hidden="false" max="4" min="4" style="2" width="10" customWidth="true"/>
    <col collapsed="false" hidden="false" max="5" min="5" style="2" width="10" customWidth="true"/>
    <col collapsed="false" hidden="false" max="6" min="6" style="2" width="10" customWidth="true"/>
    <col collapsed="false" hidden="false" max="7" min="7" style="2" width="10" customWidth="true"/>
  </cols>
  <sheetData>
    <row r="1">
      <c r="A1" s="17" t="s">
        <v>43</v>
      </c>
      <c r="B1" s="17" t="s">
        <v>132</v>
      </c>
      <c r="C1" s="17" t="s">
        <v>44</v>
      </c>
      <c r="D1" s="17" t="s">
        <v>133</v>
      </c>
      <c r="E1" s="17" t="s">
        <v>134</v>
      </c>
      <c r="F1" s="17" t="s">
        <v>34</v>
      </c>
      <c r="G1" s="17" t="s">
        <v>135</v>
      </c>
    </row>
    <row r="2">
      <c r="A2" s="17">
        <v>1</v>
      </c>
      <c r="B2" s="17" t="s">
        <v>136</v>
      </c>
      <c r="C2" s="17" t="s">
        <v>61</v>
      </c>
      <c r="D2" s="17" t="s">
        <v>137</v>
      </c>
      <c r="E2" s="17" t="s">
        <v>137</v>
      </c>
      <c r="F2" s="17">
        <v>-1250</v>
      </c>
      <c r="G2" s="17" t="s">
        <v>137</v>
      </c>
    </row>
    <row r="3">
      <c r="A3" s="17">
        <v>2</v>
      </c>
      <c r="B3" s="17" t="s">
        <v>138</v>
      </c>
      <c r="C3" s="17" t="s">
        <v>61</v>
      </c>
      <c r="D3" s="17">
        <v>29706646563</v>
      </c>
      <c r="E3" s="17" t="s">
        <v>139</v>
      </c>
      <c r="F3" s="17" t="s">
        <v>137</v>
      </c>
      <c r="G3" s="17">
        <v>-1250</v>
      </c>
    </row>
    <row r="4">
      <c r="A4" s="17">
        <v>3</v>
      </c>
      <c r="B4" s="17" t="s">
        <v>136</v>
      </c>
      <c r="C4" s="17" t="s">
        <v>67</v>
      </c>
      <c r="D4" s="17" t="s">
        <v>137</v>
      </c>
      <c r="E4" s="17" t="s">
        <v>137</v>
      </c>
      <c r="F4" s="17">
        <v>-1250</v>
      </c>
      <c r="G4" s="17" t="s">
        <v>137</v>
      </c>
    </row>
    <row r="5">
      <c r="A5" s="17">
        <v>4</v>
      </c>
      <c r="B5" s="17" t="s">
        <v>138</v>
      </c>
      <c r="C5" s="17" t="s">
        <v>67</v>
      </c>
      <c r="D5" s="17">
        <v>21293754419</v>
      </c>
      <c r="E5" s="17" t="s">
        <v>140</v>
      </c>
      <c r="F5" s="17" t="s">
        <v>137</v>
      </c>
      <c r="G5" s="17">
        <v>-1250</v>
      </c>
    </row>
    <row r="6">
      <c r="A6" s="17">
        <v>5</v>
      </c>
      <c r="B6" s="17" t="s">
        <v>136</v>
      </c>
      <c r="C6" s="17" t="s">
        <v>73</v>
      </c>
      <c r="D6" s="17" t="s">
        <v>137</v>
      </c>
      <c r="E6" s="17" t="s">
        <v>137</v>
      </c>
      <c r="F6" s="17">
        <v>-1250</v>
      </c>
      <c r="G6" s="17" t="s">
        <v>137</v>
      </c>
    </row>
    <row r="7">
      <c r="A7" s="17">
        <v>6</v>
      </c>
      <c r="B7" s="17" t="s">
        <v>138</v>
      </c>
      <c r="C7" s="17" t="s">
        <v>73</v>
      </c>
      <c r="D7" s="17">
        <v>21293754419</v>
      </c>
      <c r="E7" s="17" t="s">
        <v>140</v>
      </c>
      <c r="F7" s="17" t="s">
        <v>137</v>
      </c>
      <c r="G7" s="17">
        <v>-1250</v>
      </c>
    </row>
    <row r="8">
      <c r="A8" s="17">
        <v>7</v>
      </c>
      <c r="B8" s="17" t="s">
        <v>136</v>
      </c>
      <c r="C8" s="17" t="s">
        <v>77</v>
      </c>
      <c r="D8" s="17" t="s">
        <v>137</v>
      </c>
      <c r="E8" s="17" t="s">
        <v>137</v>
      </c>
      <c r="F8" s="17">
        <v>-1250</v>
      </c>
      <c r="G8" s="17" t="s">
        <v>137</v>
      </c>
    </row>
    <row r="9">
      <c r="A9" s="17">
        <v>8</v>
      </c>
      <c r="B9" s="17" t="s">
        <v>138</v>
      </c>
      <c r="C9" s="17" t="s">
        <v>77</v>
      </c>
      <c r="D9" s="17">
        <v>21293754419</v>
      </c>
      <c r="E9" s="17" t="s">
        <v>140</v>
      </c>
      <c r="F9" s="17" t="s">
        <v>137</v>
      </c>
      <c r="G9" s="17">
        <v>-1250</v>
      </c>
    </row>
    <row r="10">
      <c r="A10" s="17">
        <v>9</v>
      </c>
      <c r="B10" s="17" t="s">
        <v>136</v>
      </c>
      <c r="C10" s="17" t="s">
        <v>80</v>
      </c>
      <c r="D10" s="17" t="s">
        <v>137</v>
      </c>
      <c r="E10" s="17" t="s">
        <v>137</v>
      </c>
      <c r="F10" s="17">
        <v>-1250</v>
      </c>
      <c r="G10" s="17" t="s">
        <v>137</v>
      </c>
    </row>
    <row r="11">
      <c r="A11" s="17">
        <v>10</v>
      </c>
      <c r="B11" s="17" t="s">
        <v>138</v>
      </c>
      <c r="C11" s="17" t="s">
        <v>80</v>
      </c>
      <c r="D11" s="17">
        <v>29706646563</v>
      </c>
      <c r="E11" s="17" t="s">
        <v>139</v>
      </c>
      <c r="F11" s="17" t="s">
        <v>137</v>
      </c>
      <c r="G11" s="17">
        <v>-1250</v>
      </c>
    </row>
    <row r="12">
      <c r="A12" s="17">
        <v>11</v>
      </c>
      <c r="B12" s="17" t="s">
        <v>136</v>
      </c>
      <c r="C12" s="17" t="s">
        <v>84</v>
      </c>
      <c r="D12" s="17" t="s">
        <v>137</v>
      </c>
      <c r="E12" s="17" t="s">
        <v>137</v>
      </c>
      <c r="F12" s="17">
        <v>-1250</v>
      </c>
      <c r="G12" s="17" t="s">
        <v>137</v>
      </c>
    </row>
    <row r="13">
      <c r="A13" s="17">
        <v>12</v>
      </c>
      <c r="B13" s="17" t="s">
        <v>138</v>
      </c>
      <c r="C13" s="17" t="s">
        <v>84</v>
      </c>
      <c r="D13" s="17">
        <v>26106295900</v>
      </c>
      <c r="E13" s="17" t="s">
        <v>141</v>
      </c>
      <c r="F13" s="17" t="s">
        <v>137</v>
      </c>
      <c r="G13" s="17">
        <v>-638</v>
      </c>
    </row>
    <row r="14">
      <c r="A14" s="17">
        <v>13</v>
      </c>
      <c r="B14" s="17" t="s">
        <v>138</v>
      </c>
      <c r="C14" s="17" t="s">
        <v>84</v>
      </c>
      <c r="D14" s="17">
        <v>21293754419</v>
      </c>
      <c r="E14" s="17" t="s">
        <v>140</v>
      </c>
      <c r="F14" s="17" t="s">
        <v>137</v>
      </c>
      <c r="G14" s="17">
        <v>-612</v>
      </c>
    </row>
    <row r="15">
      <c r="A15" s="17">
        <v>14</v>
      </c>
      <c r="B15" s="17" t="s">
        <v>136</v>
      </c>
      <c r="C15" s="17" t="s">
        <v>87</v>
      </c>
      <c r="D15" s="17" t="s">
        <v>137</v>
      </c>
      <c r="E15" s="17" t="s">
        <v>137</v>
      </c>
      <c r="F15" s="17">
        <v>-1250</v>
      </c>
      <c r="G15" s="17" t="s">
        <v>137</v>
      </c>
    </row>
    <row r="16">
      <c r="A16" s="17">
        <v>15</v>
      </c>
      <c r="B16" s="17" t="s">
        <v>138</v>
      </c>
      <c r="C16" s="17" t="s">
        <v>87</v>
      </c>
      <c r="D16" s="17">
        <v>21293754419</v>
      </c>
      <c r="E16" s="17" t="s">
        <v>140</v>
      </c>
      <c r="F16" s="17" t="s">
        <v>137</v>
      </c>
      <c r="G16" s="17">
        <v>-1250</v>
      </c>
    </row>
    <row r="17">
      <c r="A17" s="17">
        <v>16</v>
      </c>
      <c r="B17" s="17" t="s">
        <v>136</v>
      </c>
      <c r="C17" s="17" t="s">
        <v>91</v>
      </c>
      <c r="D17" s="17" t="s">
        <v>137</v>
      </c>
      <c r="E17" s="17" t="s">
        <v>137</v>
      </c>
      <c r="F17" s="17">
        <v>-1250</v>
      </c>
      <c r="G17" s="17" t="s">
        <v>137</v>
      </c>
    </row>
    <row r="18">
      <c r="A18" s="17">
        <v>17</v>
      </c>
      <c r="B18" s="17" t="s">
        <v>138</v>
      </c>
      <c r="C18" s="17" t="s">
        <v>91</v>
      </c>
      <c r="D18" s="17">
        <v>26106295900</v>
      </c>
      <c r="E18" s="17" t="s">
        <v>141</v>
      </c>
      <c r="F18" s="17" t="s">
        <v>137</v>
      </c>
      <c r="G18" s="17">
        <v>-1250</v>
      </c>
    </row>
    <row r="19">
      <c r="A19" s="17">
        <v>18</v>
      </c>
      <c r="B19" s="17" t="s">
        <v>136</v>
      </c>
      <c r="C19" s="17" t="s">
        <v>93</v>
      </c>
      <c r="D19" s="17" t="s">
        <v>137</v>
      </c>
      <c r="E19" s="17" t="s">
        <v>137</v>
      </c>
      <c r="F19" s="17">
        <v>-1250</v>
      </c>
      <c r="G19" s="17" t="s">
        <v>137</v>
      </c>
    </row>
    <row r="20">
      <c r="A20" s="17">
        <v>19</v>
      </c>
      <c r="B20" s="17" t="s">
        <v>138</v>
      </c>
      <c r="C20" s="17" t="s">
        <v>93</v>
      </c>
      <c r="D20" s="17">
        <v>26106295900</v>
      </c>
      <c r="E20" s="17" t="s">
        <v>141</v>
      </c>
      <c r="F20" s="17" t="s">
        <v>137</v>
      </c>
      <c r="G20" s="17">
        <v>-1250</v>
      </c>
    </row>
    <row r="21">
      <c r="A21" s="17">
        <v>20</v>
      </c>
      <c r="B21" s="17" t="s">
        <v>136</v>
      </c>
      <c r="C21" s="17" t="s">
        <v>96</v>
      </c>
      <c r="D21" s="17" t="s">
        <v>137</v>
      </c>
      <c r="E21" s="17" t="s">
        <v>137</v>
      </c>
      <c r="F21" s="17">
        <v>-1250</v>
      </c>
      <c r="G21" s="17" t="s">
        <v>137</v>
      </c>
    </row>
    <row r="22">
      <c r="A22" s="17">
        <v>21</v>
      </c>
      <c r="B22" s="17" t="s">
        <v>138</v>
      </c>
      <c r="C22" s="17" t="s">
        <v>96</v>
      </c>
      <c r="D22" s="17">
        <v>26106295900</v>
      </c>
      <c r="E22" s="17" t="s">
        <v>141</v>
      </c>
      <c r="F22" s="17" t="s">
        <v>137</v>
      </c>
      <c r="G22" s="17">
        <v>-1250</v>
      </c>
    </row>
    <row r="23">
      <c r="A23" s="17">
        <v>22</v>
      </c>
      <c r="B23" s="17" t="s">
        <v>136</v>
      </c>
      <c r="C23" s="17" t="s">
        <v>99</v>
      </c>
      <c r="D23" s="17" t="s">
        <v>137</v>
      </c>
      <c r="E23" s="17" t="s">
        <v>137</v>
      </c>
      <c r="F23" s="17">
        <v>-1250</v>
      </c>
      <c r="G23" s="17" t="s">
        <v>137</v>
      </c>
    </row>
    <row r="24">
      <c r="A24" s="17">
        <v>23</v>
      </c>
      <c r="B24" s="17" t="s">
        <v>138</v>
      </c>
      <c r="C24" s="17" t="s">
        <v>99</v>
      </c>
      <c r="D24" s="17">
        <v>21293754419</v>
      </c>
      <c r="E24" s="17" t="s">
        <v>140</v>
      </c>
      <c r="F24" s="17" t="s">
        <v>137</v>
      </c>
      <c r="G24" s="17">
        <v>-1250</v>
      </c>
    </row>
    <row r="25">
      <c r="A25" s="17">
        <v>24</v>
      </c>
      <c r="B25" s="17" t="s">
        <v>136</v>
      </c>
      <c r="C25" s="17" t="s">
        <v>101</v>
      </c>
      <c r="D25" s="17" t="s">
        <v>137</v>
      </c>
      <c r="E25" s="17" t="s">
        <v>137</v>
      </c>
      <c r="F25" s="17">
        <v>-1250</v>
      </c>
      <c r="G25" s="17" t="s">
        <v>137</v>
      </c>
    </row>
    <row r="26">
      <c r="A26" s="17">
        <v>25</v>
      </c>
      <c r="B26" s="17" t="s">
        <v>138</v>
      </c>
      <c r="C26" s="17" t="s">
        <v>101</v>
      </c>
      <c r="D26" s="17">
        <v>28906281518</v>
      </c>
      <c r="E26" s="17" t="s">
        <v>142</v>
      </c>
      <c r="F26" s="17" t="s">
        <v>137</v>
      </c>
      <c r="G26" s="17">
        <v>-1250</v>
      </c>
    </row>
    <row r="27">
      <c r="A27" s="17">
        <v>26</v>
      </c>
      <c r="B27" s="17" t="s">
        <v>136</v>
      </c>
      <c r="C27" s="17" t="s">
        <v>104</v>
      </c>
      <c r="D27" s="17" t="s">
        <v>137</v>
      </c>
      <c r="E27" s="17" t="s">
        <v>137</v>
      </c>
      <c r="F27" s="17">
        <v>-1250</v>
      </c>
      <c r="G27" s="17" t="s">
        <v>137</v>
      </c>
    </row>
    <row r="28">
      <c r="A28" s="17">
        <v>27</v>
      </c>
      <c r="B28" s="17" t="s">
        <v>138</v>
      </c>
      <c r="C28" s="17" t="s">
        <v>104</v>
      </c>
      <c r="D28" s="17">
        <v>21293754419</v>
      </c>
      <c r="E28" s="17" t="s">
        <v>140</v>
      </c>
      <c r="F28" s="17" t="s">
        <v>137</v>
      </c>
      <c r="G28" s="17">
        <v>-625</v>
      </c>
    </row>
    <row r="29">
      <c r="A29" s="17">
        <v>28</v>
      </c>
      <c r="B29" s="17" t="s">
        <v>138</v>
      </c>
      <c r="C29" s="17" t="s">
        <v>104</v>
      </c>
      <c r="D29" s="17">
        <v>21293754419</v>
      </c>
      <c r="E29" s="17" t="s">
        <v>140</v>
      </c>
      <c r="F29" s="17" t="s">
        <v>137</v>
      </c>
      <c r="G29" s="17">
        <v>-625</v>
      </c>
    </row>
    <row r="30">
      <c r="A30" s="17">
        <v>29</v>
      </c>
      <c r="B30" s="17" t="s">
        <v>136</v>
      </c>
      <c r="C30" s="17" t="s">
        <v>109</v>
      </c>
      <c r="D30" s="17" t="s">
        <v>137</v>
      </c>
      <c r="E30" s="17" t="s">
        <v>137</v>
      </c>
      <c r="F30" s="17">
        <v>-1250</v>
      </c>
      <c r="G30" s="17" t="s">
        <v>137</v>
      </c>
    </row>
    <row r="31">
      <c r="A31" s="17">
        <v>30</v>
      </c>
      <c r="B31" s="17" t="s">
        <v>138</v>
      </c>
      <c r="C31" s="17" t="s">
        <v>109</v>
      </c>
      <c r="D31" s="17">
        <v>21293754419</v>
      </c>
      <c r="E31" s="17" t="s">
        <v>140</v>
      </c>
      <c r="F31" s="17" t="s">
        <v>137</v>
      </c>
      <c r="G31" s="17">
        <v>-1250</v>
      </c>
    </row>
    <row r="32">
      <c r="A32" s="17">
        <v>31</v>
      </c>
      <c r="B32" s="17" t="s">
        <v>136</v>
      </c>
      <c r="C32" s="17" t="s">
        <v>111</v>
      </c>
      <c r="D32" s="17" t="s">
        <v>137</v>
      </c>
      <c r="E32" s="17" t="s">
        <v>137</v>
      </c>
      <c r="F32" s="17">
        <v>-1250</v>
      </c>
      <c r="G32" s="17" t="s">
        <v>137</v>
      </c>
    </row>
    <row r="33">
      <c r="A33" s="17">
        <v>32</v>
      </c>
      <c r="B33" s="17" t="s">
        <v>138</v>
      </c>
      <c r="C33" s="17" t="s">
        <v>111</v>
      </c>
      <c r="D33" s="17">
        <v>26106295900</v>
      </c>
      <c r="E33" s="17" t="s">
        <v>141</v>
      </c>
      <c r="F33" s="17" t="s">
        <v>137</v>
      </c>
      <c r="G33" s="17">
        <v>-625</v>
      </c>
    </row>
    <row r="34">
      <c r="A34" s="17">
        <v>33</v>
      </c>
      <c r="B34" s="17" t="s">
        <v>138</v>
      </c>
      <c r="C34" s="17" t="s">
        <v>111</v>
      </c>
      <c r="D34" s="17">
        <v>26106295900</v>
      </c>
      <c r="E34" s="17" t="s">
        <v>141</v>
      </c>
      <c r="F34" s="17" t="s">
        <v>137</v>
      </c>
      <c r="G34" s="17">
        <v>-625</v>
      </c>
    </row>
    <row r="35">
      <c r="A35" s="17">
        <v>34</v>
      </c>
      <c r="B35" s="17" t="s">
        <v>136</v>
      </c>
      <c r="C35" s="17" t="s">
        <v>113</v>
      </c>
      <c r="D35" s="17" t="s">
        <v>137</v>
      </c>
      <c r="E35" s="17" t="s">
        <v>137</v>
      </c>
      <c r="F35" s="17">
        <v>-1250</v>
      </c>
      <c r="G35" s="17" t="s">
        <v>137</v>
      </c>
    </row>
    <row r="36">
      <c r="A36" s="17">
        <v>35</v>
      </c>
      <c r="B36" s="17" t="s">
        <v>138</v>
      </c>
      <c r="C36" s="17" t="s">
        <v>113</v>
      </c>
      <c r="D36" s="17">
        <v>21293754419</v>
      </c>
      <c r="E36" s="17" t="s">
        <v>140</v>
      </c>
      <c r="F36" s="17" t="s">
        <v>137</v>
      </c>
      <c r="G36" s="17">
        <v>-1250</v>
      </c>
    </row>
    <row r="37">
      <c r="A37" s="17">
        <v>36</v>
      </c>
      <c r="B37" s="17" t="s">
        <v>136</v>
      </c>
      <c r="C37" s="17" t="s">
        <v>115</v>
      </c>
      <c r="D37" s="17" t="s">
        <v>137</v>
      </c>
      <c r="E37" s="17" t="s">
        <v>137</v>
      </c>
      <c r="F37" s="17">
        <v>-1250</v>
      </c>
      <c r="G37" s="17" t="s">
        <v>137</v>
      </c>
    </row>
    <row r="38">
      <c r="A38" s="17">
        <v>37</v>
      </c>
      <c r="B38" s="17" t="s">
        <v>138</v>
      </c>
      <c r="C38" s="17" t="s">
        <v>115</v>
      </c>
      <c r="D38" s="17">
        <v>21293754419</v>
      </c>
      <c r="E38" s="17" t="s">
        <v>140</v>
      </c>
      <c r="F38" s="17" t="s">
        <v>137</v>
      </c>
      <c r="G38" s="17">
        <v>-625</v>
      </c>
    </row>
    <row r="39">
      <c r="A39" s="17">
        <v>38</v>
      </c>
      <c r="B39" s="17" t="s">
        <v>138</v>
      </c>
      <c r="C39" s="17" t="s">
        <v>115</v>
      </c>
      <c r="D39" s="17">
        <v>21293754419</v>
      </c>
      <c r="E39" s="17" t="s">
        <v>140</v>
      </c>
      <c r="F39" s="17" t="s">
        <v>137</v>
      </c>
      <c r="G39" s="17">
        <v>-625</v>
      </c>
    </row>
    <row r="40">
      <c r="A40" s="17">
        <v>39</v>
      </c>
      <c r="B40" s="17" t="s">
        <v>136</v>
      </c>
      <c r="C40" s="17" t="s">
        <v>118</v>
      </c>
      <c r="D40" s="17" t="s">
        <v>137</v>
      </c>
      <c r="E40" s="17" t="s">
        <v>137</v>
      </c>
      <c r="F40" s="17">
        <v>-1250</v>
      </c>
      <c r="G40" s="17" t="s">
        <v>137</v>
      </c>
    </row>
    <row r="41">
      <c r="A41" s="17">
        <v>40</v>
      </c>
      <c r="B41" s="17" t="s">
        <v>138</v>
      </c>
      <c r="C41" s="17" t="s">
        <v>118</v>
      </c>
      <c r="D41" s="17">
        <v>21293754419</v>
      </c>
      <c r="E41" s="17" t="s">
        <v>140</v>
      </c>
      <c r="F41" s="17" t="s">
        <v>137</v>
      </c>
      <c r="G41" s="17">
        <v>-1250</v>
      </c>
    </row>
    <row r="42">
      <c r="A42" s="17">
        <v>41</v>
      </c>
      <c r="B42" s="17" t="s">
        <v>136</v>
      </c>
      <c r="C42" s="17" t="s">
        <v>120</v>
      </c>
      <c r="D42" s="17" t="s">
        <v>137</v>
      </c>
      <c r="E42" s="17" t="s">
        <v>137</v>
      </c>
      <c r="F42" s="17">
        <v>-1250</v>
      </c>
      <c r="G42" s="17" t="s">
        <v>137</v>
      </c>
    </row>
    <row r="43">
      <c r="A43" s="17">
        <v>42</v>
      </c>
      <c r="B43" s="17" t="s">
        <v>138</v>
      </c>
      <c r="C43" s="17" t="s">
        <v>120</v>
      </c>
      <c r="D43" s="17">
        <v>26106295900</v>
      </c>
      <c r="E43" s="17" t="s">
        <v>141</v>
      </c>
      <c r="F43" s="17" t="s">
        <v>137</v>
      </c>
      <c r="G43" s="17">
        <v>-1250</v>
      </c>
    </row>
    <row r="44">
      <c r="A44" s="17">
        <v>43</v>
      </c>
      <c r="B44" s="17" t="s">
        <v>136</v>
      </c>
      <c r="C44" s="17" t="s">
        <v>122</v>
      </c>
      <c r="D44" s="17" t="s">
        <v>137</v>
      </c>
      <c r="E44" s="17" t="s">
        <v>137</v>
      </c>
      <c r="F44" s="17">
        <v>-1250</v>
      </c>
      <c r="G44" s="17" t="s">
        <v>137</v>
      </c>
    </row>
    <row r="45">
      <c r="A45" s="17">
        <v>44</v>
      </c>
      <c r="B45" s="17" t="s">
        <v>138</v>
      </c>
      <c r="C45" s="17" t="s">
        <v>122</v>
      </c>
      <c r="D45" s="17">
        <v>21293754419</v>
      </c>
      <c r="E45" s="17" t="s">
        <v>140</v>
      </c>
      <c r="F45" s="17" t="s">
        <v>137</v>
      </c>
      <c r="G45" s="17">
        <v>-1250</v>
      </c>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